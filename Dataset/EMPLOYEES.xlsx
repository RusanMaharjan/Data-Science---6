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Broadway\Data Science - 2\"/>
    </mc:Choice>
  </mc:AlternateContent>
  <xr:revisionPtr revIDLastSave="0" documentId="13_ncr:1_{A20279AA-9649-4A18-B88B-838F2FE8720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QLT0003" sheetId="1" r:id="rId1"/>
  </sheets>
  <definedNames>
    <definedName name="_xlcn.LinkedTable_employees1" hidden="1">employees[]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SQLT0001_20ea93cc-366f-482b-9c75-d93b90eabda1" name="SQLT0001" connection="Excel DEPARTMENTS"/>
          <x15:modelTable id="employees" name="employees" connection="LinkedTable_employe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9" i="1"/>
  <c r="D9" i="1"/>
  <c r="E9" i="1"/>
  <c r="G9" i="1"/>
  <c r="B10" i="1"/>
  <c r="C10" i="1"/>
  <c r="D10" i="1"/>
  <c r="E10" i="1"/>
  <c r="G10" i="1"/>
  <c r="G112" i="1"/>
  <c r="E112" i="1"/>
  <c r="D112" i="1"/>
  <c r="C112" i="1"/>
  <c r="B112" i="1"/>
  <c r="G111" i="1"/>
  <c r="E111" i="1"/>
  <c r="D111" i="1"/>
  <c r="C111" i="1"/>
  <c r="B111" i="1"/>
  <c r="G110" i="1"/>
  <c r="E110" i="1"/>
  <c r="D110" i="1"/>
  <c r="C110" i="1"/>
  <c r="B110" i="1"/>
  <c r="G109" i="1"/>
  <c r="E109" i="1"/>
  <c r="D109" i="1"/>
  <c r="C109" i="1"/>
  <c r="B109" i="1"/>
  <c r="B2" i="1" l="1"/>
  <c r="C2" i="1"/>
  <c r="D2" i="1"/>
  <c r="E2" i="1"/>
  <c r="G2" i="1"/>
  <c r="B3" i="1"/>
  <c r="C3" i="1"/>
  <c r="D3" i="1"/>
  <c r="E3" i="1"/>
  <c r="G3" i="1"/>
  <c r="B4" i="1"/>
  <c r="C4" i="1"/>
  <c r="D4" i="1"/>
  <c r="E4" i="1"/>
  <c r="G4" i="1"/>
  <c r="B5" i="1"/>
  <c r="C5" i="1"/>
  <c r="D5" i="1"/>
  <c r="E5" i="1"/>
  <c r="G5" i="1"/>
  <c r="B6" i="1"/>
  <c r="C6" i="1"/>
  <c r="D6" i="1"/>
  <c r="E6" i="1"/>
  <c r="G6" i="1"/>
  <c r="B7" i="1"/>
  <c r="C7" i="1"/>
  <c r="D7" i="1"/>
  <c r="E7" i="1"/>
  <c r="G7" i="1"/>
  <c r="B8" i="1"/>
  <c r="C8" i="1"/>
  <c r="D8" i="1"/>
  <c r="E8" i="1"/>
  <c r="G8" i="1"/>
  <c r="B11" i="1"/>
  <c r="C11" i="1"/>
  <c r="D11" i="1"/>
  <c r="E11" i="1"/>
  <c r="G11" i="1"/>
  <c r="B12" i="1"/>
  <c r="C12" i="1"/>
  <c r="D12" i="1"/>
  <c r="E12" i="1"/>
  <c r="G12" i="1"/>
  <c r="B13" i="1"/>
  <c r="C13" i="1"/>
  <c r="D13" i="1"/>
  <c r="E13" i="1"/>
  <c r="G13" i="1"/>
  <c r="B14" i="1"/>
  <c r="C14" i="1"/>
  <c r="D14" i="1"/>
  <c r="E14" i="1"/>
  <c r="G14" i="1"/>
  <c r="B15" i="1"/>
  <c r="C15" i="1"/>
  <c r="D15" i="1"/>
  <c r="E15" i="1"/>
  <c r="G15" i="1"/>
  <c r="B16" i="1"/>
  <c r="C16" i="1"/>
  <c r="D16" i="1"/>
  <c r="E16" i="1"/>
  <c r="G16" i="1"/>
  <c r="B17" i="1"/>
  <c r="C17" i="1"/>
  <c r="D17" i="1"/>
  <c r="E17" i="1"/>
  <c r="G17" i="1"/>
  <c r="B18" i="1"/>
  <c r="C18" i="1"/>
  <c r="D18" i="1"/>
  <c r="E18" i="1"/>
  <c r="G18" i="1"/>
  <c r="B19" i="1"/>
  <c r="C19" i="1"/>
  <c r="D19" i="1"/>
  <c r="E19" i="1"/>
  <c r="G19" i="1"/>
  <c r="B20" i="1"/>
  <c r="C20" i="1"/>
  <c r="D20" i="1"/>
  <c r="E20" i="1"/>
  <c r="G20" i="1"/>
  <c r="B21" i="1"/>
  <c r="C21" i="1"/>
  <c r="D21" i="1"/>
  <c r="E21" i="1"/>
  <c r="G21" i="1"/>
  <c r="B22" i="1"/>
  <c r="C22" i="1"/>
  <c r="D22" i="1"/>
  <c r="E22" i="1"/>
  <c r="G22" i="1"/>
  <c r="B23" i="1"/>
  <c r="C23" i="1"/>
  <c r="D23" i="1"/>
  <c r="E23" i="1"/>
  <c r="G23" i="1"/>
  <c r="B24" i="1"/>
  <c r="C24" i="1"/>
  <c r="D24" i="1"/>
  <c r="E24" i="1"/>
  <c r="G24" i="1"/>
  <c r="B25" i="1"/>
  <c r="C25" i="1"/>
  <c r="D25" i="1"/>
  <c r="E25" i="1"/>
  <c r="G25" i="1"/>
  <c r="B26" i="1"/>
  <c r="C26" i="1"/>
  <c r="D26" i="1"/>
  <c r="E26" i="1"/>
  <c r="G26" i="1"/>
  <c r="B27" i="1"/>
  <c r="C27" i="1"/>
  <c r="D27" i="1"/>
  <c r="E27" i="1"/>
  <c r="G27" i="1"/>
  <c r="B28" i="1"/>
  <c r="C28" i="1"/>
  <c r="D28" i="1"/>
  <c r="E28" i="1"/>
  <c r="G28" i="1"/>
  <c r="B29" i="1"/>
  <c r="C29" i="1"/>
  <c r="D29" i="1"/>
  <c r="E29" i="1"/>
  <c r="G29" i="1"/>
  <c r="B30" i="1"/>
  <c r="C30" i="1"/>
  <c r="D30" i="1"/>
  <c r="E30" i="1"/>
  <c r="G30" i="1"/>
  <c r="B31" i="1"/>
  <c r="C31" i="1"/>
  <c r="D31" i="1"/>
  <c r="E31" i="1"/>
  <c r="G31" i="1"/>
  <c r="B32" i="1"/>
  <c r="C32" i="1"/>
  <c r="D32" i="1"/>
  <c r="E32" i="1"/>
  <c r="G32" i="1"/>
  <c r="B33" i="1"/>
  <c r="C33" i="1"/>
  <c r="D33" i="1"/>
  <c r="E33" i="1"/>
  <c r="G33" i="1"/>
  <c r="B34" i="1"/>
  <c r="C34" i="1"/>
  <c r="D34" i="1"/>
  <c r="E34" i="1"/>
  <c r="G34" i="1"/>
  <c r="B35" i="1"/>
  <c r="C35" i="1"/>
  <c r="D35" i="1"/>
  <c r="E35" i="1"/>
  <c r="G35" i="1"/>
  <c r="B36" i="1"/>
  <c r="C36" i="1"/>
  <c r="D36" i="1"/>
  <c r="E36" i="1"/>
  <c r="G36" i="1"/>
  <c r="B37" i="1"/>
  <c r="C37" i="1"/>
  <c r="D37" i="1"/>
  <c r="E37" i="1"/>
  <c r="G37" i="1"/>
  <c r="B38" i="1"/>
  <c r="C38" i="1"/>
  <c r="D38" i="1"/>
  <c r="E38" i="1"/>
  <c r="G38" i="1"/>
  <c r="B39" i="1"/>
  <c r="C39" i="1"/>
  <c r="D39" i="1"/>
  <c r="E39" i="1"/>
  <c r="G39" i="1"/>
  <c r="B40" i="1"/>
  <c r="C40" i="1"/>
  <c r="D40" i="1"/>
  <c r="E40" i="1"/>
  <c r="G40" i="1"/>
  <c r="B41" i="1"/>
  <c r="C41" i="1"/>
  <c r="D41" i="1"/>
  <c r="E41" i="1"/>
  <c r="G41" i="1"/>
  <c r="B42" i="1"/>
  <c r="C42" i="1"/>
  <c r="D42" i="1"/>
  <c r="E42" i="1"/>
  <c r="G42" i="1"/>
  <c r="B43" i="1"/>
  <c r="C43" i="1"/>
  <c r="D43" i="1"/>
  <c r="E43" i="1"/>
  <c r="G43" i="1"/>
  <c r="B44" i="1"/>
  <c r="C44" i="1"/>
  <c r="D44" i="1"/>
  <c r="E44" i="1"/>
  <c r="G44" i="1"/>
  <c r="B45" i="1"/>
  <c r="C45" i="1"/>
  <c r="D45" i="1"/>
  <c r="E45" i="1"/>
  <c r="G45" i="1"/>
  <c r="B46" i="1"/>
  <c r="C46" i="1"/>
  <c r="D46" i="1"/>
  <c r="E46" i="1"/>
  <c r="G46" i="1"/>
  <c r="B47" i="1"/>
  <c r="C47" i="1"/>
  <c r="D47" i="1"/>
  <c r="E47" i="1"/>
  <c r="G47" i="1"/>
  <c r="B48" i="1"/>
  <c r="C48" i="1"/>
  <c r="D48" i="1"/>
  <c r="E48" i="1"/>
  <c r="G48" i="1"/>
  <c r="B49" i="1"/>
  <c r="C49" i="1"/>
  <c r="D49" i="1"/>
  <c r="E49" i="1"/>
  <c r="G49" i="1"/>
  <c r="B50" i="1"/>
  <c r="C50" i="1"/>
  <c r="D50" i="1"/>
  <c r="E50" i="1"/>
  <c r="G50" i="1"/>
  <c r="B51" i="1"/>
  <c r="C51" i="1"/>
  <c r="D51" i="1"/>
  <c r="E51" i="1"/>
  <c r="G51" i="1"/>
  <c r="B52" i="1"/>
  <c r="C52" i="1"/>
  <c r="D52" i="1"/>
  <c r="E52" i="1"/>
  <c r="G52" i="1"/>
  <c r="B53" i="1"/>
  <c r="C53" i="1"/>
  <c r="D53" i="1"/>
  <c r="E53" i="1"/>
  <c r="G53" i="1"/>
  <c r="B54" i="1"/>
  <c r="C54" i="1"/>
  <c r="D54" i="1"/>
  <c r="E54" i="1"/>
  <c r="G54" i="1"/>
  <c r="B55" i="1"/>
  <c r="C55" i="1"/>
  <c r="D55" i="1"/>
  <c r="E55" i="1"/>
  <c r="G55" i="1"/>
  <c r="B56" i="1"/>
  <c r="C56" i="1"/>
  <c r="D56" i="1"/>
  <c r="E56" i="1"/>
  <c r="G56" i="1"/>
  <c r="B57" i="1"/>
  <c r="C57" i="1"/>
  <c r="D57" i="1"/>
  <c r="E57" i="1"/>
  <c r="G57" i="1"/>
  <c r="B58" i="1"/>
  <c r="C58" i="1"/>
  <c r="D58" i="1"/>
  <c r="E58" i="1"/>
  <c r="G58" i="1"/>
  <c r="B59" i="1"/>
  <c r="C59" i="1"/>
  <c r="D59" i="1"/>
  <c r="E59" i="1"/>
  <c r="G59" i="1"/>
  <c r="B60" i="1"/>
  <c r="C60" i="1"/>
  <c r="D60" i="1"/>
  <c r="E60" i="1"/>
  <c r="G60" i="1"/>
  <c r="B61" i="1"/>
  <c r="C61" i="1"/>
  <c r="D61" i="1"/>
  <c r="E61" i="1"/>
  <c r="G61" i="1"/>
  <c r="B62" i="1"/>
  <c r="C62" i="1"/>
  <c r="D62" i="1"/>
  <c r="E62" i="1"/>
  <c r="G62" i="1"/>
  <c r="B63" i="1"/>
  <c r="C63" i="1"/>
  <c r="D63" i="1"/>
  <c r="E63" i="1"/>
  <c r="G63" i="1"/>
  <c r="B64" i="1"/>
  <c r="C64" i="1"/>
  <c r="D64" i="1"/>
  <c r="E64" i="1"/>
  <c r="G64" i="1"/>
  <c r="B65" i="1"/>
  <c r="C65" i="1"/>
  <c r="D65" i="1"/>
  <c r="E65" i="1"/>
  <c r="G65" i="1"/>
  <c r="B66" i="1"/>
  <c r="C66" i="1"/>
  <c r="D66" i="1"/>
  <c r="E66" i="1"/>
  <c r="G66" i="1"/>
  <c r="B67" i="1"/>
  <c r="C67" i="1"/>
  <c r="D67" i="1"/>
  <c r="E67" i="1"/>
  <c r="G67" i="1"/>
  <c r="B68" i="1"/>
  <c r="C68" i="1"/>
  <c r="D68" i="1"/>
  <c r="E68" i="1"/>
  <c r="G68" i="1"/>
  <c r="B69" i="1"/>
  <c r="C69" i="1"/>
  <c r="D69" i="1"/>
  <c r="E69" i="1"/>
  <c r="G69" i="1"/>
  <c r="B70" i="1"/>
  <c r="C70" i="1"/>
  <c r="D70" i="1"/>
  <c r="E70" i="1"/>
  <c r="G70" i="1"/>
  <c r="B71" i="1"/>
  <c r="C71" i="1"/>
  <c r="D71" i="1"/>
  <c r="E71" i="1"/>
  <c r="G71" i="1"/>
  <c r="B72" i="1"/>
  <c r="C72" i="1"/>
  <c r="D72" i="1"/>
  <c r="E72" i="1"/>
  <c r="G72" i="1"/>
  <c r="B73" i="1"/>
  <c r="C73" i="1"/>
  <c r="D73" i="1"/>
  <c r="E73" i="1"/>
  <c r="G73" i="1"/>
  <c r="B74" i="1"/>
  <c r="C74" i="1"/>
  <c r="D74" i="1"/>
  <c r="E74" i="1"/>
  <c r="G74" i="1"/>
  <c r="B75" i="1"/>
  <c r="C75" i="1"/>
  <c r="D75" i="1"/>
  <c r="E75" i="1"/>
  <c r="G75" i="1"/>
  <c r="B76" i="1"/>
  <c r="C76" i="1"/>
  <c r="D76" i="1"/>
  <c r="E76" i="1"/>
  <c r="G76" i="1"/>
  <c r="B77" i="1"/>
  <c r="C77" i="1"/>
  <c r="D77" i="1"/>
  <c r="E77" i="1"/>
  <c r="G77" i="1"/>
  <c r="B78" i="1"/>
  <c r="C78" i="1"/>
  <c r="D78" i="1"/>
  <c r="E78" i="1"/>
  <c r="G78" i="1"/>
  <c r="B79" i="1"/>
  <c r="C79" i="1"/>
  <c r="D79" i="1"/>
  <c r="E79" i="1"/>
  <c r="G79" i="1"/>
  <c r="B80" i="1"/>
  <c r="C80" i="1"/>
  <c r="D80" i="1"/>
  <c r="E80" i="1"/>
  <c r="G80" i="1"/>
  <c r="B81" i="1"/>
  <c r="C81" i="1"/>
  <c r="D81" i="1"/>
  <c r="E81" i="1"/>
  <c r="G81" i="1"/>
  <c r="B82" i="1"/>
  <c r="C82" i="1"/>
  <c r="D82" i="1"/>
  <c r="E82" i="1"/>
  <c r="G82" i="1"/>
  <c r="B83" i="1"/>
  <c r="C83" i="1"/>
  <c r="D83" i="1"/>
  <c r="E83" i="1"/>
  <c r="G83" i="1"/>
  <c r="B84" i="1"/>
  <c r="C84" i="1"/>
  <c r="D84" i="1"/>
  <c r="E84" i="1"/>
  <c r="G84" i="1"/>
  <c r="B85" i="1"/>
  <c r="C85" i="1"/>
  <c r="D85" i="1"/>
  <c r="E85" i="1"/>
  <c r="G85" i="1"/>
  <c r="B86" i="1"/>
  <c r="C86" i="1"/>
  <c r="D86" i="1"/>
  <c r="E86" i="1"/>
  <c r="G86" i="1"/>
  <c r="B87" i="1"/>
  <c r="C87" i="1"/>
  <c r="D87" i="1"/>
  <c r="E87" i="1"/>
  <c r="G87" i="1"/>
  <c r="B88" i="1"/>
  <c r="C88" i="1"/>
  <c r="D88" i="1"/>
  <c r="E88" i="1"/>
  <c r="G88" i="1"/>
  <c r="B89" i="1"/>
  <c r="C89" i="1"/>
  <c r="D89" i="1"/>
  <c r="E89" i="1"/>
  <c r="G89" i="1"/>
  <c r="B90" i="1"/>
  <c r="C90" i="1"/>
  <c r="D90" i="1"/>
  <c r="E90" i="1"/>
  <c r="G90" i="1"/>
  <c r="B91" i="1"/>
  <c r="C91" i="1"/>
  <c r="D91" i="1"/>
  <c r="E91" i="1"/>
  <c r="G91" i="1"/>
  <c r="B92" i="1"/>
  <c r="C92" i="1"/>
  <c r="D92" i="1"/>
  <c r="E92" i="1"/>
  <c r="G92" i="1"/>
  <c r="B93" i="1"/>
  <c r="C93" i="1"/>
  <c r="D93" i="1"/>
  <c r="E93" i="1"/>
  <c r="G93" i="1"/>
  <c r="B94" i="1"/>
  <c r="C94" i="1"/>
  <c r="D94" i="1"/>
  <c r="E94" i="1"/>
  <c r="G94" i="1"/>
  <c r="B95" i="1"/>
  <c r="C95" i="1"/>
  <c r="D95" i="1"/>
  <c r="E95" i="1"/>
  <c r="G95" i="1"/>
  <c r="B96" i="1"/>
  <c r="C96" i="1"/>
  <c r="D96" i="1"/>
  <c r="E96" i="1"/>
  <c r="G96" i="1"/>
  <c r="B97" i="1"/>
  <c r="C97" i="1"/>
  <c r="D97" i="1"/>
  <c r="E97" i="1"/>
  <c r="G97" i="1"/>
  <c r="B98" i="1"/>
  <c r="C98" i="1"/>
  <c r="D98" i="1"/>
  <c r="E98" i="1"/>
  <c r="G98" i="1"/>
  <c r="B99" i="1"/>
  <c r="C99" i="1"/>
  <c r="D99" i="1"/>
  <c r="E99" i="1"/>
  <c r="G99" i="1"/>
  <c r="B100" i="1"/>
  <c r="C100" i="1"/>
  <c r="D100" i="1"/>
  <c r="E100" i="1"/>
  <c r="G100" i="1"/>
  <c r="B101" i="1"/>
  <c r="C101" i="1"/>
  <c r="D101" i="1"/>
  <c r="E101" i="1"/>
  <c r="G101" i="1"/>
  <c r="B102" i="1"/>
  <c r="C102" i="1"/>
  <c r="D102" i="1"/>
  <c r="E102" i="1"/>
  <c r="G102" i="1"/>
  <c r="B103" i="1"/>
  <c r="C103" i="1"/>
  <c r="D103" i="1"/>
  <c r="E103" i="1"/>
  <c r="G103" i="1"/>
  <c r="B104" i="1"/>
  <c r="C104" i="1"/>
  <c r="D104" i="1"/>
  <c r="E104" i="1"/>
  <c r="G104" i="1"/>
  <c r="B105" i="1"/>
  <c r="C105" i="1"/>
  <c r="D105" i="1"/>
  <c r="E105" i="1"/>
  <c r="G105" i="1"/>
  <c r="B106" i="1"/>
  <c r="C106" i="1"/>
  <c r="D106" i="1"/>
  <c r="E106" i="1"/>
  <c r="G106" i="1"/>
  <c r="B107" i="1"/>
  <c r="C107" i="1"/>
  <c r="D107" i="1"/>
  <c r="E107" i="1"/>
  <c r="G107" i="1"/>
  <c r="B108" i="1"/>
  <c r="C108" i="1"/>
  <c r="D108" i="1"/>
  <c r="E108" i="1"/>
  <c r="G10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DEPARTMENTS" type="100" refreshedVersion="0">
    <extLst>
      <ext xmlns:x15="http://schemas.microsoft.com/office/spreadsheetml/2010/11/main" uri="{DE250136-89BD-433C-8126-D09CA5730AF9}">
        <x15:connection id="f6cc5bfa-2f72-4a9c-982f-3aacbf918428"/>
      </ext>
    </extLst>
  </connection>
  <connection id="2" xr16:uid="{00000000-0015-0000-FFFF-FFFF01000000}" name="LinkedTable_employees" type="102" refreshedVersion="6" minRefreshableVersion="5">
    <extLst>
      <ext xmlns:x15="http://schemas.microsoft.com/office/spreadsheetml/2010/11/main" uri="{DE250136-89BD-433C-8126-D09CA5730AF9}">
        <x15:connection id="employees">
          <x15:rangePr sourceName="_xlcn.LinkedTable_employees1"/>
        </x15:connection>
      </ext>
    </extLst>
  </connection>
  <connection id="3" xr16:uid="{00000000-0015-0000-FFFF-FFFF02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<sst xmlns="http://schemas.openxmlformats.org/spreadsheetml/2006/main" count="122" uniqueCount="109">
  <si>
    <t>17.06.2003 00:00:00</t>
  </si>
  <si>
    <t>21.09.2005 00:00:00</t>
  </si>
  <si>
    <t>13.01.2001 00:00:00</t>
  </si>
  <si>
    <t>03.01.2006 00:00:00</t>
  </si>
  <si>
    <t>21.05.2007 00:00:00</t>
  </si>
  <si>
    <t>25.06.2005 00:00:00</t>
  </si>
  <si>
    <t>05.02.2006 00:00:00</t>
  </si>
  <si>
    <t>07.02.2007 00:00:00</t>
  </si>
  <si>
    <t>17.08.2002 00:00:00</t>
  </si>
  <si>
    <t>16.08.2002 00:00:00</t>
  </si>
  <si>
    <t>28.09.2005 00:00:00</t>
  </si>
  <si>
    <t>30.09.2005 00:00:00</t>
  </si>
  <si>
    <t>07.03.2006 00:00:00</t>
  </si>
  <si>
    <t>07.12.2007 00:00:00</t>
  </si>
  <si>
    <t>07.12.2002 00:00:00</t>
  </si>
  <si>
    <t>18.05.2003 00:00:00</t>
  </si>
  <si>
    <t>24.12.2005 00:00:00</t>
  </si>
  <si>
    <t>24.07.2005 00:00:00</t>
  </si>
  <si>
    <t>15.11.2006 00:00:00</t>
  </si>
  <si>
    <t>10.08.2007 00:00:00</t>
  </si>
  <si>
    <t>18.07.2004 00:00:00</t>
  </si>
  <si>
    <t>10.04.2005 00:00:00</t>
  </si>
  <si>
    <t>01.05.2003 00:00:00</t>
  </si>
  <si>
    <t>10.10.2005 00:00:00</t>
  </si>
  <si>
    <t>16.11.2007 00:00:00</t>
  </si>
  <si>
    <t>16.07.2005 00:00:00</t>
  </si>
  <si>
    <t>28.09.2006 00:00:00</t>
  </si>
  <si>
    <t>14.01.2007 00:00:00</t>
  </si>
  <si>
    <t>08.03.2008 00:00:00</t>
  </si>
  <si>
    <t>20.08.2005 00:00:00</t>
  </si>
  <si>
    <t>30.10.2005 00:00:00</t>
  </si>
  <si>
    <t>16.02.2005 00:00:00</t>
  </si>
  <si>
    <t>10.04.2007 00:00:00</t>
  </si>
  <si>
    <t>14.06.2004 00:00:00</t>
  </si>
  <si>
    <t>26.08.2006 00:00:00</t>
  </si>
  <si>
    <t>12.12.2007 00:00:00</t>
  </si>
  <si>
    <t>06.02.2008 00:00:00</t>
  </si>
  <si>
    <t>14.07.2003 00:00:00</t>
  </si>
  <si>
    <t>26.10.2005 00:00:00</t>
  </si>
  <si>
    <t>12.02.2006 00:00:00</t>
  </si>
  <si>
    <t>06.04.2006 00:00:00</t>
  </si>
  <si>
    <t>17.10.2003 00:00:00</t>
  </si>
  <si>
    <t>29.01.2005 00:00:00</t>
  </si>
  <si>
    <t>15.03.2006 00:00:00</t>
  </si>
  <si>
    <t>09.07.2006 00:00:00</t>
  </si>
  <si>
    <t>01.10.2004 00:00:00</t>
  </si>
  <si>
    <t>05.01.2005 00:00:00</t>
  </si>
  <si>
    <t>10.03.2005 00:00:00</t>
  </si>
  <si>
    <t>15.10.2007 00:00:00</t>
  </si>
  <si>
    <t>29.01.2008 00:00:00</t>
  </si>
  <si>
    <t>30.01.2005 00:00:00</t>
  </si>
  <si>
    <t>24.03.2005 00:00:00</t>
  </si>
  <si>
    <t>30.03.2006 00:00:00</t>
  </si>
  <si>
    <t>09.12.2006 00:00:00</t>
  </si>
  <si>
    <t>23.11.2007 00:00:00</t>
  </si>
  <si>
    <t>30.01.2004 00:00:00</t>
  </si>
  <si>
    <t>04.03.2004 00:00:00</t>
  </si>
  <si>
    <t>01.08.2004 00:00:00</t>
  </si>
  <si>
    <t>15.12.2005 00:00:00</t>
  </si>
  <si>
    <t>03.11.2006 00:00:00</t>
  </si>
  <si>
    <t>11.11.2005 00:00:00</t>
  </si>
  <si>
    <t>19.03.2007 00:00:00</t>
  </si>
  <si>
    <t>24.01.2008 00:00:00</t>
  </si>
  <si>
    <t>23.02.2008 00:00:00</t>
  </si>
  <si>
    <t>24.03.2008 00:00:00</t>
  </si>
  <si>
    <t>21.04.2008 00:00:00</t>
  </si>
  <si>
    <t>11.03.2005 00:00:00</t>
  </si>
  <si>
    <t>23.03.2006 00:00:00</t>
  </si>
  <si>
    <t>24.01.2006 00:00:00</t>
  </si>
  <si>
    <t>23.02.2007 00:00:00</t>
  </si>
  <si>
    <t>24.03.2007 00:00:00</t>
  </si>
  <si>
    <t>11.05.2004 00:00:00</t>
  </si>
  <si>
    <t>19.03.2005 00:00:00</t>
  </si>
  <si>
    <t>24.03.2006 00:00:00</t>
  </si>
  <si>
    <t>23.04.2006 00:00:00</t>
  </si>
  <si>
    <t>24.05.2007 00:00:00</t>
  </si>
  <si>
    <t>04.01.2008 00:00:00</t>
  </si>
  <si>
    <t>23.02.2006 00:00:00</t>
  </si>
  <si>
    <t>21.06.2007 00:00:00</t>
  </si>
  <si>
    <t>03.02.2008 00:00:00</t>
  </si>
  <si>
    <t>27.01.2004 00:00:00</t>
  </si>
  <si>
    <t>20.02.2005 00:00:00</t>
  </si>
  <si>
    <t>24.06.2006 00:00:00</t>
  </si>
  <si>
    <t>14.06.2005 00:00:00</t>
  </si>
  <si>
    <t>13.08.2005 00:00:00</t>
  </si>
  <si>
    <t>11.07.2006 00:00:00</t>
  </si>
  <si>
    <t>19.12.2007 00:00:00</t>
  </si>
  <si>
    <t>04.02.2004 00:00:00</t>
  </si>
  <si>
    <t>03.03.2005 00:00:00</t>
  </si>
  <si>
    <t>01.07.2006 00:00:00</t>
  </si>
  <si>
    <t>17.03.2007 00:00:00</t>
  </si>
  <si>
    <t>24.04.2006 00:00:00</t>
  </si>
  <si>
    <t>23.05.2006 00:00:00</t>
  </si>
  <si>
    <t>13.01.2008 00:00:00</t>
  </si>
  <si>
    <t>17.09.2003 00:00:00</t>
  </si>
  <si>
    <t>17.02.2004 00:00:00</t>
  </si>
  <si>
    <t>17.08.2005 00:00:00</t>
  </si>
  <si>
    <t>07.06.2002 00:00:00</t>
  </si>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</sst>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" displayName="employees" ref="A1:K113" totalsRowShown="0">
  <autoFilter ref="A1:K113" xr:uid="{00000000-0009-0000-0100-000001000000}"/>
  <tableColumns count="11">
    <tableColumn id="1" xr3:uid="{00000000-0010-0000-0000-000001000000}" name="EMPLOYEE_ID"/>
    <tableColumn id="2" xr3:uid="{00000000-0010-0000-0000-000002000000}" name="FIRST_NAME"/>
    <tableColumn id="3" xr3:uid="{00000000-0010-0000-0000-000003000000}" name="LAST_NAME"/>
    <tableColumn id="4" xr3:uid="{00000000-0010-0000-0000-000004000000}" name="EMAIL"/>
    <tableColumn id="5" xr3:uid="{00000000-0010-0000-0000-000005000000}" name="PHONE_NUMBER"/>
    <tableColumn id="6" xr3:uid="{00000000-0010-0000-0000-000006000000}" name="HIRE_DATE"/>
    <tableColumn id="7" xr3:uid="{00000000-0010-0000-0000-000007000000}" name="JOB_ID"/>
    <tableColumn id="8" xr3:uid="{00000000-0010-0000-0000-000008000000}" name="SALARY"/>
    <tableColumn id="9" xr3:uid="{00000000-0010-0000-0000-000009000000}" name="COMMISSION_PCT"/>
    <tableColumn id="10" xr3:uid="{00000000-0010-0000-0000-00000A000000}" name="MANAGER_ID"/>
    <tableColumn id="11" xr3:uid="{00000000-0010-0000-0000-00000B000000}" name="DEPARTMENT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"/>
  <sheetViews>
    <sheetView tabSelected="1" zoomScale="90" zoomScaleNormal="90" workbookViewId="0">
      <selection activeCell="C11" sqref="C11"/>
    </sheetView>
  </sheetViews>
  <sheetFormatPr defaultRowHeight="14.25" x14ac:dyDescent="0.45"/>
  <cols>
    <col min="1" max="1" width="14.19921875" bestFit="1" customWidth="1"/>
    <col min="2" max="2" width="13.265625" bestFit="1" customWidth="1"/>
    <col min="3" max="3" width="12.796875" bestFit="1" customWidth="1"/>
    <col min="4" max="4" width="14.53125" bestFit="1" customWidth="1"/>
    <col min="5" max="5" width="17.265625" bestFit="1" customWidth="1"/>
    <col min="6" max="6" width="23" customWidth="1"/>
    <col min="7" max="7" width="17.53125" customWidth="1"/>
    <col min="8" max="8" width="14.19921875" customWidth="1"/>
    <col min="9" max="9" width="18.06640625" bestFit="1" customWidth="1"/>
    <col min="10" max="10" width="14.1328125" bestFit="1" customWidth="1"/>
    <col min="11" max="11" width="16.796875" bestFit="1" customWidth="1"/>
  </cols>
  <sheetData>
    <row r="1" spans="1:11" x14ac:dyDescent="0.4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</row>
    <row r="2" spans="1:11" x14ac:dyDescent="0.45">
      <c r="A2">
        <v>100</v>
      </c>
      <c r="B2" t="str">
        <f>"Steven"</f>
        <v>Steven</v>
      </c>
      <c r="C2" t="str">
        <f>"King"</f>
        <v>King</v>
      </c>
      <c r="D2" t="str">
        <f>"SKING"</f>
        <v>SKING</v>
      </c>
      <c r="E2" t="str">
        <f>"515.123.4567"</f>
        <v>515.123.4567</v>
      </c>
      <c r="F2" t="s">
        <v>0</v>
      </c>
      <c r="G2" t="str">
        <f>"AD_PRES"</f>
        <v>AD_PRES</v>
      </c>
      <c r="H2">
        <v>24000</v>
      </c>
      <c r="K2">
        <v>90</v>
      </c>
    </row>
    <row r="3" spans="1:11" x14ac:dyDescent="0.45">
      <c r="A3">
        <v>101</v>
      </c>
      <c r="B3" t="str">
        <f>"Neena"</f>
        <v>Neena</v>
      </c>
      <c r="C3" t="str">
        <f>"Kochhar"</f>
        <v>Kochhar</v>
      </c>
      <c r="D3" t="str">
        <f>"NKOCHHAR"</f>
        <v>NKOCHHAR</v>
      </c>
      <c r="E3" t="str">
        <f>"515.123.4568"</f>
        <v>515.123.4568</v>
      </c>
      <c r="F3" t="s">
        <v>1</v>
      </c>
      <c r="G3" t="str">
        <f>"AD_VP"</f>
        <v>AD_VP</v>
      </c>
      <c r="H3">
        <v>17000</v>
      </c>
      <c r="J3">
        <v>100</v>
      </c>
      <c r="K3">
        <v>90</v>
      </c>
    </row>
    <row r="4" spans="1:11" x14ac:dyDescent="0.45">
      <c r="A4">
        <v>102</v>
      </c>
      <c r="B4" t="str">
        <f>"Lex"</f>
        <v>Lex</v>
      </c>
      <c r="C4" t="str">
        <f>"De Haan"</f>
        <v>De Haan</v>
      </c>
      <c r="D4" t="str">
        <f>"LDEHAAN"</f>
        <v>LDEHAAN</v>
      </c>
      <c r="E4" t="str">
        <f>"515.123.4569"</f>
        <v>515.123.4569</v>
      </c>
      <c r="F4" t="s">
        <v>2</v>
      </c>
      <c r="G4" t="str">
        <f>"AD_VP"</f>
        <v>AD_VP</v>
      </c>
      <c r="H4">
        <v>17000</v>
      </c>
      <c r="J4">
        <v>100</v>
      </c>
      <c r="K4">
        <v>90</v>
      </c>
    </row>
    <row r="5" spans="1:11" x14ac:dyDescent="0.45">
      <c r="A5">
        <v>103</v>
      </c>
      <c r="B5" t="str">
        <f>"Alexander"</f>
        <v>Alexander</v>
      </c>
      <c r="C5" t="str">
        <f>"Hunold"</f>
        <v>Hunold</v>
      </c>
      <c r="D5" t="str">
        <f>"AHUNOLD"</f>
        <v>AHUNOLD</v>
      </c>
      <c r="E5" t="str">
        <f>"590.423.4567"</f>
        <v>590.423.4567</v>
      </c>
      <c r="F5" t="s">
        <v>3</v>
      </c>
      <c r="G5" t="str">
        <f>"IT_PROG"</f>
        <v>IT_PROG</v>
      </c>
      <c r="H5">
        <v>9000</v>
      </c>
      <c r="J5">
        <v>102</v>
      </c>
      <c r="K5">
        <v>60</v>
      </c>
    </row>
    <row r="6" spans="1:11" x14ac:dyDescent="0.45">
      <c r="A6">
        <v>104</v>
      </c>
      <c r="B6" t="str">
        <f>"Bruce"</f>
        <v>Bruce</v>
      </c>
      <c r="C6" t="str">
        <f>"Ernst"</f>
        <v>Ernst</v>
      </c>
      <c r="D6" t="str">
        <f>"BERNST"</f>
        <v>BERNST</v>
      </c>
      <c r="E6" t="str">
        <f>"590.423.4568"</f>
        <v>590.423.4568</v>
      </c>
      <c r="F6" t="s">
        <v>4</v>
      </c>
      <c r="G6" t="str">
        <f>"IT_PROG"</f>
        <v>IT_PROG</v>
      </c>
      <c r="H6">
        <v>6000</v>
      </c>
      <c r="J6">
        <v>103</v>
      </c>
      <c r="K6">
        <v>60</v>
      </c>
    </row>
    <row r="7" spans="1:11" x14ac:dyDescent="0.45">
      <c r="A7">
        <v>105</v>
      </c>
      <c r="B7" t="str">
        <f>"David"</f>
        <v>David</v>
      </c>
      <c r="C7" t="str">
        <f>"Austin"</f>
        <v>Austin</v>
      </c>
      <c r="D7" t="str">
        <f>"DAUSTIN"</f>
        <v>DAUSTIN</v>
      </c>
      <c r="E7" t="str">
        <f>"590.423.4569"</f>
        <v>590.423.4569</v>
      </c>
      <c r="F7" t="s">
        <v>5</v>
      </c>
      <c r="G7" t="str">
        <f>"IT_PROG"</f>
        <v>IT_PROG</v>
      </c>
      <c r="H7">
        <v>4800</v>
      </c>
      <c r="J7">
        <v>103</v>
      </c>
      <c r="K7">
        <v>60</v>
      </c>
    </row>
    <row r="8" spans="1:11" x14ac:dyDescent="0.45">
      <c r="A8">
        <v>106</v>
      </c>
      <c r="B8" t="str">
        <f>"Valli"</f>
        <v>Valli</v>
      </c>
      <c r="C8" t="str">
        <f>"Pataballa"</f>
        <v>Pataballa</v>
      </c>
      <c r="D8" t="str">
        <f>"VPATABAL"</f>
        <v>VPATABAL</v>
      </c>
      <c r="E8" t="str">
        <f>"590.423.4560"</f>
        <v>590.423.4560</v>
      </c>
      <c r="F8" t="s">
        <v>6</v>
      </c>
      <c r="G8" t="str">
        <f>"IT_PROG"</f>
        <v>IT_PROG</v>
      </c>
      <c r="H8">
        <v>4800</v>
      </c>
      <c r="J8">
        <v>103</v>
      </c>
      <c r="K8">
        <v>60</v>
      </c>
    </row>
    <row r="9" spans="1:11" x14ac:dyDescent="0.45">
      <c r="A9">
        <v>107</v>
      </c>
      <c r="B9" t="str">
        <f>"Diana"</f>
        <v>Diana</v>
      </c>
      <c r="C9" t="str">
        <f>"Lorentz"</f>
        <v>Lorentz</v>
      </c>
      <c r="D9" t="str">
        <f>"DLORENTZ"</f>
        <v>DLORENTZ</v>
      </c>
      <c r="E9" t="str">
        <f>"590.423.5567"</f>
        <v>590.423.5567</v>
      </c>
      <c r="F9" t="s">
        <v>7</v>
      </c>
      <c r="G9" t="str">
        <f>"IT_PROG"</f>
        <v>IT_PROG</v>
      </c>
      <c r="H9">
        <v>4200</v>
      </c>
      <c r="J9">
        <v>103</v>
      </c>
      <c r="K9">
        <v>60</v>
      </c>
    </row>
    <row r="10" spans="1:11" x14ac:dyDescent="0.45">
      <c r="A10">
        <v>108</v>
      </c>
      <c r="B10" t="str">
        <f>"Nancy"</f>
        <v>Nancy</v>
      </c>
      <c r="C10" t="str">
        <f>"Greenberg"</f>
        <v>Greenberg</v>
      </c>
      <c r="D10" t="str">
        <f>"NGREENBE"</f>
        <v>NGREENBE</v>
      </c>
      <c r="E10" t="str">
        <f>"515.124.4569"</f>
        <v>515.124.4569</v>
      </c>
      <c r="F10" t="s">
        <v>8</v>
      </c>
      <c r="G10" t="str">
        <f>"FI_MGR"</f>
        <v>FI_MGR</v>
      </c>
      <c r="H10">
        <v>12008</v>
      </c>
      <c r="J10">
        <v>101</v>
      </c>
      <c r="K10">
        <v>100</v>
      </c>
    </row>
    <row r="11" spans="1:11" x14ac:dyDescent="0.45">
      <c r="A11">
        <v>109</v>
      </c>
      <c r="B11" t="str">
        <f>"Daniel"</f>
        <v>Daniel</v>
      </c>
      <c r="C11" t="str">
        <f>"Faviet"</f>
        <v>Faviet</v>
      </c>
      <c r="D11" t="str">
        <f>"DFAVIET"</f>
        <v>DFAVIET</v>
      </c>
      <c r="E11" t="str">
        <f>"515.124.4169"</f>
        <v>515.124.4169</v>
      </c>
      <c r="F11" t="s">
        <v>9</v>
      </c>
      <c r="G11" t="str">
        <f>"FI_ACCOUNT"</f>
        <v>FI_ACCOUNT</v>
      </c>
      <c r="H11">
        <v>9000</v>
      </c>
      <c r="J11">
        <v>108</v>
      </c>
      <c r="K11">
        <v>100</v>
      </c>
    </row>
    <row r="12" spans="1:11" x14ac:dyDescent="0.45">
      <c r="A12">
        <v>110</v>
      </c>
      <c r="B12" t="str">
        <f>"John"</f>
        <v>John</v>
      </c>
      <c r="C12" t="str">
        <f>"Chen"</f>
        <v>Chen</v>
      </c>
      <c r="D12" t="str">
        <f>"JCHEN"</f>
        <v>JCHEN</v>
      </c>
      <c r="E12" t="str">
        <f>"515.124.4269"</f>
        <v>515.124.4269</v>
      </c>
      <c r="F12" t="s">
        <v>10</v>
      </c>
      <c r="G12" t="str">
        <f>"FI_ACCOUNT"</f>
        <v>FI_ACCOUNT</v>
      </c>
      <c r="H12">
        <v>8200</v>
      </c>
      <c r="J12">
        <v>108</v>
      </c>
      <c r="K12">
        <v>100</v>
      </c>
    </row>
    <row r="13" spans="1:11" x14ac:dyDescent="0.45">
      <c r="A13">
        <v>111</v>
      </c>
      <c r="B13" t="str">
        <f>"Ismael"</f>
        <v>Ismael</v>
      </c>
      <c r="C13" t="str">
        <f>"Sciarra"</f>
        <v>Sciarra</v>
      </c>
      <c r="D13" t="str">
        <f>"ISCIARRA"</f>
        <v>ISCIARRA</v>
      </c>
      <c r="E13" t="str">
        <f>"515.124.4369"</f>
        <v>515.124.4369</v>
      </c>
      <c r="F13" t="s">
        <v>11</v>
      </c>
      <c r="G13" t="str">
        <f>"FI_ACCOUNT"</f>
        <v>FI_ACCOUNT</v>
      </c>
      <c r="H13">
        <v>7700</v>
      </c>
      <c r="J13">
        <v>108</v>
      </c>
      <c r="K13">
        <v>100</v>
      </c>
    </row>
    <row r="14" spans="1:11" x14ac:dyDescent="0.45">
      <c r="A14">
        <v>112</v>
      </c>
      <c r="B14" t="str">
        <f>"Jose Manuel"</f>
        <v>Jose Manuel</v>
      </c>
      <c r="C14" t="str">
        <f>"Urman"</f>
        <v>Urman</v>
      </c>
      <c r="D14" t="str">
        <f>"JMURMAN"</f>
        <v>JMURMAN</v>
      </c>
      <c r="E14" t="str">
        <f>"515.124.4469"</f>
        <v>515.124.4469</v>
      </c>
      <c r="F14" t="s">
        <v>12</v>
      </c>
      <c r="G14" t="str">
        <f>"FI_ACCOUNT"</f>
        <v>FI_ACCOUNT</v>
      </c>
      <c r="H14">
        <v>7800</v>
      </c>
      <c r="J14">
        <v>108</v>
      </c>
      <c r="K14">
        <v>100</v>
      </c>
    </row>
    <row r="15" spans="1:11" x14ac:dyDescent="0.45">
      <c r="A15">
        <v>113</v>
      </c>
      <c r="B15" t="str">
        <f>"Luis"</f>
        <v>Luis</v>
      </c>
      <c r="C15" t="str">
        <f>"Popp"</f>
        <v>Popp</v>
      </c>
      <c r="D15" t="str">
        <f>"LPOPP"</f>
        <v>LPOPP</v>
      </c>
      <c r="E15" t="str">
        <f>"515.124.4567"</f>
        <v>515.124.4567</v>
      </c>
      <c r="F15" t="s">
        <v>13</v>
      </c>
      <c r="G15" t="str">
        <f>"FI_ACCOUNT"</f>
        <v>FI_ACCOUNT</v>
      </c>
      <c r="H15">
        <v>6900</v>
      </c>
      <c r="J15">
        <v>108</v>
      </c>
      <c r="K15">
        <v>100</v>
      </c>
    </row>
    <row r="16" spans="1:11" x14ac:dyDescent="0.45">
      <c r="A16">
        <v>114</v>
      </c>
      <c r="B16" t="str">
        <f>"Den"</f>
        <v>Den</v>
      </c>
      <c r="C16" t="str">
        <f>"Raphaely"</f>
        <v>Raphaely</v>
      </c>
      <c r="D16" t="str">
        <f>"DRAPHEAL"</f>
        <v>DRAPHEAL</v>
      </c>
      <c r="E16" t="str">
        <f>"515.127.4561"</f>
        <v>515.127.4561</v>
      </c>
      <c r="F16" t="s">
        <v>14</v>
      </c>
      <c r="G16" t="str">
        <f>"PU_MAN"</f>
        <v>PU_MAN</v>
      </c>
      <c r="H16">
        <v>11000</v>
      </c>
      <c r="J16">
        <v>100</v>
      </c>
      <c r="K16">
        <v>30</v>
      </c>
    </row>
    <row r="17" spans="1:11" x14ac:dyDescent="0.45">
      <c r="A17">
        <v>115</v>
      </c>
      <c r="B17" t="str">
        <f>"Alexander"</f>
        <v>Alexander</v>
      </c>
      <c r="C17" t="str">
        <f>"Khoo"</f>
        <v>Khoo</v>
      </c>
      <c r="D17" t="str">
        <f>"AKHOO"</f>
        <v>AKHOO</v>
      </c>
      <c r="E17" t="str">
        <f>"515.127.4562"</f>
        <v>515.127.4562</v>
      </c>
      <c r="F17" t="s">
        <v>15</v>
      </c>
      <c r="G17" t="str">
        <f>"PU_CLERK"</f>
        <v>PU_CLERK</v>
      </c>
      <c r="H17">
        <v>3100</v>
      </c>
      <c r="J17">
        <v>114</v>
      </c>
      <c r="K17">
        <v>30</v>
      </c>
    </row>
    <row r="18" spans="1:11" x14ac:dyDescent="0.45">
      <c r="A18">
        <v>116</v>
      </c>
      <c r="B18" t="str">
        <f>"Shelli"</f>
        <v>Shelli</v>
      </c>
      <c r="C18" t="str">
        <f>"Baida"</f>
        <v>Baida</v>
      </c>
      <c r="D18" t="str">
        <f>"SBAIDA"</f>
        <v>SBAIDA</v>
      </c>
      <c r="E18" t="str">
        <f>"515.127.4563"</f>
        <v>515.127.4563</v>
      </c>
      <c r="F18" t="s">
        <v>16</v>
      </c>
      <c r="G18" t="str">
        <f>"PU_CLERK"</f>
        <v>PU_CLERK</v>
      </c>
      <c r="H18">
        <v>2900</v>
      </c>
      <c r="J18">
        <v>114</v>
      </c>
      <c r="K18">
        <v>30</v>
      </c>
    </row>
    <row r="19" spans="1:11" x14ac:dyDescent="0.45">
      <c r="A19">
        <v>117</v>
      </c>
      <c r="B19" t="str">
        <f>"Sigal"</f>
        <v>Sigal</v>
      </c>
      <c r="C19" t="str">
        <f>"Tobias"</f>
        <v>Tobias</v>
      </c>
      <c r="D19" t="str">
        <f>"STOBIAS"</f>
        <v>STOBIAS</v>
      </c>
      <c r="E19" t="str">
        <f>"515.127.4564"</f>
        <v>515.127.4564</v>
      </c>
      <c r="F19" t="s">
        <v>17</v>
      </c>
      <c r="G19" t="str">
        <f>"PU_CLERK"</f>
        <v>PU_CLERK</v>
      </c>
      <c r="H19">
        <v>2800</v>
      </c>
      <c r="J19">
        <v>114</v>
      </c>
      <c r="K19">
        <v>30</v>
      </c>
    </row>
    <row r="20" spans="1:11" x14ac:dyDescent="0.45">
      <c r="A20">
        <v>118</v>
      </c>
      <c r="B20" t="str">
        <f>"Guy"</f>
        <v>Guy</v>
      </c>
      <c r="C20" t="str">
        <f>"Himuro"</f>
        <v>Himuro</v>
      </c>
      <c r="D20" t="str">
        <f>"GHIMURO"</f>
        <v>GHIMURO</v>
      </c>
      <c r="E20" t="str">
        <f>"515.127.4565"</f>
        <v>515.127.4565</v>
      </c>
      <c r="F20" t="s">
        <v>18</v>
      </c>
      <c r="G20" t="str">
        <f>"PU_CLERK"</f>
        <v>PU_CLERK</v>
      </c>
      <c r="H20">
        <v>2600</v>
      </c>
      <c r="J20">
        <v>114</v>
      </c>
      <c r="K20">
        <v>30</v>
      </c>
    </row>
    <row r="21" spans="1:11" x14ac:dyDescent="0.45">
      <c r="A21">
        <v>119</v>
      </c>
      <c r="B21" t="str">
        <f>"Karen"</f>
        <v>Karen</v>
      </c>
      <c r="C21" t="str">
        <f>"Colmenares"</f>
        <v>Colmenares</v>
      </c>
      <c r="D21" t="str">
        <f>"KCOLMENA"</f>
        <v>KCOLMENA</v>
      </c>
      <c r="E21" t="str">
        <f>"515.127.4566"</f>
        <v>515.127.4566</v>
      </c>
      <c r="F21" t="s">
        <v>19</v>
      </c>
      <c r="G21" t="str">
        <f>"PU_CLERK"</f>
        <v>PU_CLERK</v>
      </c>
      <c r="H21">
        <v>2500</v>
      </c>
      <c r="J21">
        <v>114</v>
      </c>
      <c r="K21">
        <v>30</v>
      </c>
    </row>
    <row r="22" spans="1:11" x14ac:dyDescent="0.45">
      <c r="A22">
        <v>120</v>
      </c>
      <c r="B22" t="str">
        <f>"Matthew"</f>
        <v>Matthew</v>
      </c>
      <c r="C22" t="str">
        <f>"Weiss"</f>
        <v>Weiss</v>
      </c>
      <c r="D22" t="str">
        <f>"MWEISS"</f>
        <v>MWEISS</v>
      </c>
      <c r="E22" t="str">
        <f>"650.123.1234"</f>
        <v>650.123.1234</v>
      </c>
      <c r="F22" t="s">
        <v>20</v>
      </c>
      <c r="G22" t="str">
        <f>"ST_MAN"</f>
        <v>ST_MAN</v>
      </c>
      <c r="H22">
        <v>8000</v>
      </c>
      <c r="J22">
        <v>100</v>
      </c>
      <c r="K22">
        <v>50</v>
      </c>
    </row>
    <row r="23" spans="1:11" x14ac:dyDescent="0.45">
      <c r="A23">
        <v>121</v>
      </c>
      <c r="B23" t="str">
        <f>"Adam"</f>
        <v>Adam</v>
      </c>
      <c r="C23" t="str">
        <f>"Fripp"</f>
        <v>Fripp</v>
      </c>
      <c r="D23" t="str">
        <f>"AFRIPP"</f>
        <v>AFRIPP</v>
      </c>
      <c r="E23" t="str">
        <f>"650.123.2234"</f>
        <v>650.123.2234</v>
      </c>
      <c r="F23" t="s">
        <v>21</v>
      </c>
      <c r="G23" t="str">
        <f>"ST_MAN"</f>
        <v>ST_MAN</v>
      </c>
      <c r="H23">
        <v>8200</v>
      </c>
      <c r="J23">
        <v>100</v>
      </c>
      <c r="K23">
        <v>50</v>
      </c>
    </row>
    <row r="24" spans="1:11" x14ac:dyDescent="0.45">
      <c r="A24">
        <v>122</v>
      </c>
      <c r="B24" t="str">
        <f>"Payam"</f>
        <v>Payam</v>
      </c>
      <c r="C24" t="str">
        <f>"Kaufling"</f>
        <v>Kaufling</v>
      </c>
      <c r="D24" t="str">
        <f>"PKAUFLIN"</f>
        <v>PKAUFLIN</v>
      </c>
      <c r="E24" t="str">
        <f>"650.123.3234"</f>
        <v>650.123.3234</v>
      </c>
      <c r="F24" t="s">
        <v>22</v>
      </c>
      <c r="G24" t="str">
        <f>"ST_MAN"</f>
        <v>ST_MAN</v>
      </c>
      <c r="H24">
        <v>7900</v>
      </c>
      <c r="J24">
        <v>100</v>
      </c>
      <c r="K24">
        <v>50</v>
      </c>
    </row>
    <row r="25" spans="1:11" x14ac:dyDescent="0.45">
      <c r="A25">
        <v>123</v>
      </c>
      <c r="B25" t="str">
        <f>"Shanta"</f>
        <v>Shanta</v>
      </c>
      <c r="C25" t="str">
        <f>"Vollman"</f>
        <v>Vollman</v>
      </c>
      <c r="D25" t="str">
        <f>"SVOLLMAN"</f>
        <v>SVOLLMAN</v>
      </c>
      <c r="E25" t="str">
        <f>"650.123.4234"</f>
        <v>650.123.4234</v>
      </c>
      <c r="F25" t="s">
        <v>23</v>
      </c>
      <c r="G25" t="str">
        <f>"ST_MAN"</f>
        <v>ST_MAN</v>
      </c>
      <c r="H25">
        <v>6500</v>
      </c>
      <c r="J25">
        <v>100</v>
      </c>
      <c r="K25">
        <v>50</v>
      </c>
    </row>
    <row r="26" spans="1:11" x14ac:dyDescent="0.45">
      <c r="A26">
        <v>124</v>
      </c>
      <c r="B26" t="str">
        <f>"Kevin"</f>
        <v>Kevin</v>
      </c>
      <c r="C26" t="str">
        <f>"Mourgos"</f>
        <v>Mourgos</v>
      </c>
      <c r="D26" t="str">
        <f>"KMOURGOS"</f>
        <v>KMOURGOS</v>
      </c>
      <c r="E26" t="str">
        <f>"650.123.5234"</f>
        <v>650.123.5234</v>
      </c>
      <c r="F26" t="s">
        <v>24</v>
      </c>
      <c r="G26" t="str">
        <f>"ST_MAN"</f>
        <v>ST_MAN</v>
      </c>
      <c r="H26">
        <v>5800</v>
      </c>
      <c r="J26">
        <v>100</v>
      </c>
      <c r="K26">
        <v>50</v>
      </c>
    </row>
    <row r="27" spans="1:11" x14ac:dyDescent="0.45">
      <c r="A27">
        <v>125</v>
      </c>
      <c r="B27" t="str">
        <f>"Julia"</f>
        <v>Julia</v>
      </c>
      <c r="C27" t="str">
        <f>"Nayer"</f>
        <v>Nayer</v>
      </c>
      <c r="D27" t="str">
        <f>"JNAYER"</f>
        <v>JNAYER</v>
      </c>
      <c r="E27" t="str">
        <f>"650.124.1214"</f>
        <v>650.124.1214</v>
      </c>
      <c r="F27" t="s">
        <v>25</v>
      </c>
      <c r="G27" t="str">
        <f t="shared" ref="G27:G46" si="0">"ST_CLERK"</f>
        <v>ST_CLERK</v>
      </c>
      <c r="H27">
        <v>3200</v>
      </c>
      <c r="J27">
        <v>120</v>
      </c>
      <c r="K27">
        <v>50</v>
      </c>
    </row>
    <row r="28" spans="1:11" x14ac:dyDescent="0.45">
      <c r="A28">
        <v>126</v>
      </c>
      <c r="B28" t="str">
        <f>"Irene"</f>
        <v>Irene</v>
      </c>
      <c r="C28" t="str">
        <f>"Mikkilineni"</f>
        <v>Mikkilineni</v>
      </c>
      <c r="D28" t="str">
        <f>"IMIKKILI"</f>
        <v>IMIKKILI</v>
      </c>
      <c r="E28" t="str">
        <f>"650.124.1224"</f>
        <v>650.124.1224</v>
      </c>
      <c r="F28" t="s">
        <v>26</v>
      </c>
      <c r="G28" t="str">
        <f t="shared" si="0"/>
        <v>ST_CLERK</v>
      </c>
      <c r="H28">
        <v>2700</v>
      </c>
      <c r="J28">
        <v>120</v>
      </c>
      <c r="K28">
        <v>50</v>
      </c>
    </row>
    <row r="29" spans="1:11" x14ac:dyDescent="0.45">
      <c r="A29">
        <v>127</v>
      </c>
      <c r="B29" t="str">
        <f>"James"</f>
        <v>James</v>
      </c>
      <c r="C29" t="str">
        <f>"Landry"</f>
        <v>Landry</v>
      </c>
      <c r="D29" t="str">
        <f>"JLANDRY"</f>
        <v>JLANDRY</v>
      </c>
      <c r="E29" t="str">
        <f>"650.124.1334"</f>
        <v>650.124.1334</v>
      </c>
      <c r="F29" t="s">
        <v>27</v>
      </c>
      <c r="G29" t="str">
        <f t="shared" si="0"/>
        <v>ST_CLERK</v>
      </c>
      <c r="H29">
        <v>2400</v>
      </c>
      <c r="J29">
        <v>120</v>
      </c>
      <c r="K29">
        <v>50</v>
      </c>
    </row>
    <row r="30" spans="1:11" x14ac:dyDescent="0.45">
      <c r="A30">
        <v>128</v>
      </c>
      <c r="B30" t="str">
        <f>"Steven"</f>
        <v>Steven</v>
      </c>
      <c r="C30" t="str">
        <f>"Markle"</f>
        <v>Markle</v>
      </c>
      <c r="D30" t="str">
        <f>"SMARKLE"</f>
        <v>SMARKLE</v>
      </c>
      <c r="E30" t="str">
        <f>"650.124.1434"</f>
        <v>650.124.1434</v>
      </c>
      <c r="F30" t="s">
        <v>28</v>
      </c>
      <c r="G30" t="str">
        <f t="shared" si="0"/>
        <v>ST_CLERK</v>
      </c>
      <c r="H30">
        <v>2200</v>
      </c>
      <c r="J30">
        <v>120</v>
      </c>
      <c r="K30">
        <v>50</v>
      </c>
    </row>
    <row r="31" spans="1:11" x14ac:dyDescent="0.45">
      <c r="A31">
        <v>129</v>
      </c>
      <c r="B31" t="str">
        <f>"Laura"</f>
        <v>Laura</v>
      </c>
      <c r="C31" t="str">
        <f>"Bissot"</f>
        <v>Bissot</v>
      </c>
      <c r="D31" t="str">
        <f>"LBISSOT"</f>
        <v>LBISSOT</v>
      </c>
      <c r="E31" t="str">
        <f>"650.124.5234"</f>
        <v>650.124.5234</v>
      </c>
      <c r="F31" t="s">
        <v>29</v>
      </c>
      <c r="G31" t="str">
        <f t="shared" si="0"/>
        <v>ST_CLERK</v>
      </c>
      <c r="H31">
        <v>3300</v>
      </c>
      <c r="J31">
        <v>121</v>
      </c>
      <c r="K31">
        <v>50</v>
      </c>
    </row>
    <row r="32" spans="1:11" x14ac:dyDescent="0.45">
      <c r="A32">
        <v>130</v>
      </c>
      <c r="B32" t="str">
        <f>"Mozhe"</f>
        <v>Mozhe</v>
      </c>
      <c r="C32" t="str">
        <f>"Atkinson"</f>
        <v>Atkinson</v>
      </c>
      <c r="D32" t="str">
        <f>"MATKINSO"</f>
        <v>MATKINSO</v>
      </c>
      <c r="E32" t="str">
        <f>"650.124.6234"</f>
        <v>650.124.6234</v>
      </c>
      <c r="F32" t="s">
        <v>30</v>
      </c>
      <c r="G32" t="str">
        <f t="shared" si="0"/>
        <v>ST_CLERK</v>
      </c>
      <c r="H32">
        <v>2800</v>
      </c>
      <c r="J32">
        <v>121</v>
      </c>
      <c r="K32">
        <v>50</v>
      </c>
    </row>
    <row r="33" spans="1:11" x14ac:dyDescent="0.45">
      <c r="A33">
        <v>131</v>
      </c>
      <c r="B33" t="str">
        <f>"James"</f>
        <v>James</v>
      </c>
      <c r="C33" t="str">
        <f>"Marlow"</f>
        <v>Marlow</v>
      </c>
      <c r="D33" t="str">
        <f>"JAMRLOW"</f>
        <v>JAMRLOW</v>
      </c>
      <c r="E33" t="str">
        <f>"650.124.7234"</f>
        <v>650.124.7234</v>
      </c>
      <c r="F33" t="s">
        <v>31</v>
      </c>
      <c r="G33" t="str">
        <f t="shared" si="0"/>
        <v>ST_CLERK</v>
      </c>
      <c r="H33">
        <v>2500</v>
      </c>
      <c r="J33">
        <v>121</v>
      </c>
      <c r="K33">
        <v>50</v>
      </c>
    </row>
    <row r="34" spans="1:11" x14ac:dyDescent="0.45">
      <c r="A34">
        <v>132</v>
      </c>
      <c r="B34" t="str">
        <f>"TJ"</f>
        <v>TJ</v>
      </c>
      <c r="C34" t="str">
        <f>"Olson"</f>
        <v>Olson</v>
      </c>
      <c r="D34" t="str">
        <f>"TJOLSON"</f>
        <v>TJOLSON</v>
      </c>
      <c r="E34" t="str">
        <f>"650.124.8234"</f>
        <v>650.124.8234</v>
      </c>
      <c r="F34" t="s">
        <v>32</v>
      </c>
      <c r="G34" t="str">
        <f t="shared" si="0"/>
        <v>ST_CLERK</v>
      </c>
      <c r="H34">
        <v>2100</v>
      </c>
      <c r="J34">
        <v>121</v>
      </c>
      <c r="K34">
        <v>50</v>
      </c>
    </row>
    <row r="35" spans="1:11" x14ac:dyDescent="0.45">
      <c r="A35">
        <v>133</v>
      </c>
      <c r="B35" t="str">
        <f>"Jason"</f>
        <v>Jason</v>
      </c>
      <c r="C35" t="str">
        <f>"Mallin"</f>
        <v>Mallin</v>
      </c>
      <c r="D35" t="str">
        <f>"JMALLIN"</f>
        <v>JMALLIN</v>
      </c>
      <c r="E35" t="str">
        <f>"650.127.1934"</f>
        <v>650.127.1934</v>
      </c>
      <c r="F35" t="s">
        <v>33</v>
      </c>
      <c r="G35" t="str">
        <f t="shared" si="0"/>
        <v>ST_CLERK</v>
      </c>
      <c r="H35">
        <v>3300</v>
      </c>
      <c r="J35">
        <v>122</v>
      </c>
      <c r="K35">
        <v>50</v>
      </c>
    </row>
    <row r="36" spans="1:11" x14ac:dyDescent="0.45">
      <c r="A36">
        <v>134</v>
      </c>
      <c r="B36" t="str">
        <f>"Michael"</f>
        <v>Michael</v>
      </c>
      <c r="C36" t="str">
        <f>"Rogers"</f>
        <v>Rogers</v>
      </c>
      <c r="D36" t="str">
        <f>"MROGERS"</f>
        <v>MROGERS</v>
      </c>
      <c r="E36" t="str">
        <f>"650.127.1834"</f>
        <v>650.127.1834</v>
      </c>
      <c r="F36" t="s">
        <v>34</v>
      </c>
      <c r="G36" t="str">
        <f t="shared" si="0"/>
        <v>ST_CLERK</v>
      </c>
      <c r="H36">
        <v>2900</v>
      </c>
      <c r="J36">
        <v>122</v>
      </c>
      <c r="K36">
        <v>50</v>
      </c>
    </row>
    <row r="37" spans="1:11" x14ac:dyDescent="0.45">
      <c r="A37">
        <v>135</v>
      </c>
      <c r="B37" t="str">
        <f>"Ki"</f>
        <v>Ki</v>
      </c>
      <c r="C37" t="str">
        <f>"Gee"</f>
        <v>Gee</v>
      </c>
      <c r="D37" t="str">
        <f>"KGEE"</f>
        <v>KGEE</v>
      </c>
      <c r="E37" t="str">
        <f>"650.127.1734"</f>
        <v>650.127.1734</v>
      </c>
      <c r="F37" t="s">
        <v>35</v>
      </c>
      <c r="G37" t="str">
        <f t="shared" si="0"/>
        <v>ST_CLERK</v>
      </c>
      <c r="H37">
        <v>2400</v>
      </c>
      <c r="J37">
        <v>122</v>
      </c>
      <c r="K37">
        <v>50</v>
      </c>
    </row>
    <row r="38" spans="1:11" x14ac:dyDescent="0.45">
      <c r="A38">
        <v>136</v>
      </c>
      <c r="B38" t="str">
        <f>"Hazel"</f>
        <v>Hazel</v>
      </c>
      <c r="C38" t="str">
        <f>"Philtanker"</f>
        <v>Philtanker</v>
      </c>
      <c r="D38" t="str">
        <f>"HPHILTAN"</f>
        <v>HPHILTAN</v>
      </c>
      <c r="E38" t="str">
        <f>"650.127.1634"</f>
        <v>650.127.1634</v>
      </c>
      <c r="F38" t="s">
        <v>36</v>
      </c>
      <c r="G38" t="str">
        <f t="shared" si="0"/>
        <v>ST_CLERK</v>
      </c>
      <c r="H38">
        <v>2200</v>
      </c>
      <c r="J38">
        <v>122</v>
      </c>
      <c r="K38">
        <v>50</v>
      </c>
    </row>
    <row r="39" spans="1:11" x14ac:dyDescent="0.45">
      <c r="A39">
        <v>137</v>
      </c>
      <c r="B39" t="str">
        <f>"Renske"</f>
        <v>Renske</v>
      </c>
      <c r="C39" t="str">
        <f>"Ladwig"</f>
        <v>Ladwig</v>
      </c>
      <c r="D39" t="str">
        <f>"RLADWIG"</f>
        <v>RLADWIG</v>
      </c>
      <c r="E39" t="str">
        <f>"650.121.1234"</f>
        <v>650.121.1234</v>
      </c>
      <c r="F39" t="s">
        <v>37</v>
      </c>
      <c r="G39" t="str">
        <f t="shared" si="0"/>
        <v>ST_CLERK</v>
      </c>
      <c r="H39">
        <v>3600</v>
      </c>
      <c r="J39">
        <v>123</v>
      </c>
      <c r="K39">
        <v>50</v>
      </c>
    </row>
    <row r="40" spans="1:11" x14ac:dyDescent="0.45">
      <c r="A40">
        <v>138</v>
      </c>
      <c r="B40" t="str">
        <f>"Stephen"</f>
        <v>Stephen</v>
      </c>
      <c r="C40" t="str">
        <f>"Stiles"</f>
        <v>Stiles</v>
      </c>
      <c r="D40" t="str">
        <f>"SSTILES"</f>
        <v>SSTILES</v>
      </c>
      <c r="E40" t="str">
        <f>"650.121.2034"</f>
        <v>650.121.2034</v>
      </c>
      <c r="F40" t="s">
        <v>38</v>
      </c>
      <c r="G40" t="str">
        <f t="shared" si="0"/>
        <v>ST_CLERK</v>
      </c>
      <c r="H40">
        <v>3200</v>
      </c>
      <c r="J40">
        <v>123</v>
      </c>
      <c r="K40">
        <v>50</v>
      </c>
    </row>
    <row r="41" spans="1:11" x14ac:dyDescent="0.45">
      <c r="A41">
        <v>139</v>
      </c>
      <c r="B41" t="str">
        <f>"John"</f>
        <v>John</v>
      </c>
      <c r="C41" t="str">
        <f>"Seo"</f>
        <v>Seo</v>
      </c>
      <c r="D41" t="str">
        <f>"JSEO"</f>
        <v>JSEO</v>
      </c>
      <c r="E41" t="str">
        <f>"650.121.2019"</f>
        <v>650.121.2019</v>
      </c>
      <c r="F41" t="s">
        <v>39</v>
      </c>
      <c r="G41" t="str">
        <f t="shared" si="0"/>
        <v>ST_CLERK</v>
      </c>
      <c r="H41">
        <v>2700</v>
      </c>
      <c r="J41">
        <v>123</v>
      </c>
      <c r="K41">
        <v>50</v>
      </c>
    </row>
    <row r="42" spans="1:11" x14ac:dyDescent="0.45">
      <c r="A42">
        <v>140</v>
      </c>
      <c r="B42" t="str">
        <f>"Joshua"</f>
        <v>Joshua</v>
      </c>
      <c r="C42" t="str">
        <f>"Patel"</f>
        <v>Patel</v>
      </c>
      <c r="D42" t="str">
        <f>"JPATEL"</f>
        <v>JPATEL</v>
      </c>
      <c r="E42" t="str">
        <f>"650.121.1834"</f>
        <v>650.121.1834</v>
      </c>
      <c r="F42" t="s">
        <v>40</v>
      </c>
      <c r="G42" t="str">
        <f t="shared" si="0"/>
        <v>ST_CLERK</v>
      </c>
      <c r="H42">
        <v>2500</v>
      </c>
      <c r="J42">
        <v>123</v>
      </c>
      <c r="K42">
        <v>50</v>
      </c>
    </row>
    <row r="43" spans="1:11" x14ac:dyDescent="0.45">
      <c r="A43">
        <v>141</v>
      </c>
      <c r="B43" t="str">
        <f>"Trenna"</f>
        <v>Trenna</v>
      </c>
      <c r="C43" t="str">
        <f>"Rajs"</f>
        <v>Rajs</v>
      </c>
      <c r="D43" t="str">
        <f>"TRAJS"</f>
        <v>TRAJS</v>
      </c>
      <c r="E43" t="str">
        <f>"650.121.8009"</f>
        <v>650.121.8009</v>
      </c>
      <c r="F43" t="s">
        <v>41</v>
      </c>
      <c r="G43" t="str">
        <f t="shared" si="0"/>
        <v>ST_CLERK</v>
      </c>
      <c r="H43">
        <v>3500</v>
      </c>
      <c r="J43">
        <v>124</v>
      </c>
      <c r="K43">
        <v>50</v>
      </c>
    </row>
    <row r="44" spans="1:11" x14ac:dyDescent="0.45">
      <c r="A44">
        <v>142</v>
      </c>
      <c r="B44" t="str">
        <f>"Curtis"</f>
        <v>Curtis</v>
      </c>
      <c r="C44" t="str">
        <f>"Davies"</f>
        <v>Davies</v>
      </c>
      <c r="D44" t="str">
        <f>"CDAVIES"</f>
        <v>CDAVIES</v>
      </c>
      <c r="E44" t="str">
        <f>"650.121.2994"</f>
        <v>650.121.2994</v>
      </c>
      <c r="F44" t="s">
        <v>42</v>
      </c>
      <c r="G44" t="str">
        <f t="shared" si="0"/>
        <v>ST_CLERK</v>
      </c>
      <c r="H44">
        <v>3100</v>
      </c>
      <c r="J44">
        <v>124</v>
      </c>
      <c r="K44">
        <v>50</v>
      </c>
    </row>
    <row r="45" spans="1:11" x14ac:dyDescent="0.45">
      <c r="A45">
        <v>143</v>
      </c>
      <c r="B45" t="str">
        <f>"Randall"</f>
        <v>Randall</v>
      </c>
      <c r="C45" t="str">
        <f>"Matos"</f>
        <v>Matos</v>
      </c>
      <c r="D45" t="str">
        <f>"RMATOS"</f>
        <v>RMATOS</v>
      </c>
      <c r="E45" t="str">
        <f>"650.121.2874"</f>
        <v>650.121.2874</v>
      </c>
      <c r="F45" t="s">
        <v>43</v>
      </c>
      <c r="G45" t="str">
        <f t="shared" si="0"/>
        <v>ST_CLERK</v>
      </c>
      <c r="H45">
        <v>2600</v>
      </c>
      <c r="J45">
        <v>124</v>
      </c>
      <c r="K45">
        <v>50</v>
      </c>
    </row>
    <row r="46" spans="1:11" x14ac:dyDescent="0.45">
      <c r="A46">
        <v>144</v>
      </c>
      <c r="B46" t="str">
        <f>"Peter"</f>
        <v>Peter</v>
      </c>
      <c r="C46" t="str">
        <f>"Vargas"</f>
        <v>Vargas</v>
      </c>
      <c r="D46" t="str">
        <f>"PVARGAS"</f>
        <v>PVARGAS</v>
      </c>
      <c r="E46" t="str">
        <f>"650.121.2004"</f>
        <v>650.121.2004</v>
      </c>
      <c r="F46" t="s">
        <v>44</v>
      </c>
      <c r="G46" t="str">
        <f t="shared" si="0"/>
        <v>ST_CLERK</v>
      </c>
      <c r="H46">
        <v>2500</v>
      </c>
      <c r="J46">
        <v>124</v>
      </c>
      <c r="K46">
        <v>50</v>
      </c>
    </row>
    <row r="47" spans="1:11" x14ac:dyDescent="0.45">
      <c r="A47">
        <v>145</v>
      </c>
      <c r="B47" t="str">
        <f>"John"</f>
        <v>John</v>
      </c>
      <c r="C47" t="str">
        <f>"Russell"</f>
        <v>Russell</v>
      </c>
      <c r="D47" t="str">
        <f>"JRUSSEL"</f>
        <v>JRUSSEL</v>
      </c>
      <c r="E47" t="str">
        <f>"011.44.1344.429268"</f>
        <v>011.44.1344.429268</v>
      </c>
      <c r="F47" t="s">
        <v>45</v>
      </c>
      <c r="G47" t="str">
        <f>"SA_MAN"</f>
        <v>SA_MAN</v>
      </c>
      <c r="H47">
        <v>14000</v>
      </c>
      <c r="I47">
        <v>0.4</v>
      </c>
      <c r="J47">
        <v>100</v>
      </c>
      <c r="K47">
        <v>80</v>
      </c>
    </row>
    <row r="48" spans="1:11" x14ac:dyDescent="0.45">
      <c r="A48">
        <v>146</v>
      </c>
      <c r="B48" t="str">
        <f>"Karen"</f>
        <v>Karen</v>
      </c>
      <c r="C48" t="str">
        <f>"Partners"</f>
        <v>Partners</v>
      </c>
      <c r="D48" t="str">
        <f>"KPARTNER"</f>
        <v>KPARTNER</v>
      </c>
      <c r="E48" t="str">
        <f>"011.44.1344.467268"</f>
        <v>011.44.1344.467268</v>
      </c>
      <c r="F48" t="s">
        <v>46</v>
      </c>
      <c r="G48" t="str">
        <f>"SA_MAN"</f>
        <v>SA_MAN</v>
      </c>
      <c r="H48">
        <v>13500</v>
      </c>
      <c r="I48">
        <v>0.3</v>
      </c>
      <c r="J48">
        <v>100</v>
      </c>
      <c r="K48">
        <v>80</v>
      </c>
    </row>
    <row r="49" spans="1:11" x14ac:dyDescent="0.45">
      <c r="A49">
        <v>147</v>
      </c>
      <c r="B49" t="str">
        <f>"Alberto"</f>
        <v>Alberto</v>
      </c>
      <c r="C49" t="str">
        <f>"Errazuriz"</f>
        <v>Errazuriz</v>
      </c>
      <c r="D49" t="str">
        <f>"AERRAZUR"</f>
        <v>AERRAZUR</v>
      </c>
      <c r="E49" t="str">
        <f>"011.44.1344.429278"</f>
        <v>011.44.1344.429278</v>
      </c>
      <c r="F49" t="s">
        <v>47</v>
      </c>
      <c r="G49" t="str">
        <f>"SA_MAN"</f>
        <v>SA_MAN</v>
      </c>
      <c r="H49">
        <v>12000</v>
      </c>
      <c r="I49">
        <v>0.3</v>
      </c>
      <c r="J49">
        <v>100</v>
      </c>
      <c r="K49">
        <v>80</v>
      </c>
    </row>
    <row r="50" spans="1:11" x14ac:dyDescent="0.45">
      <c r="A50">
        <v>148</v>
      </c>
      <c r="B50" t="str">
        <f>"Gerald"</f>
        <v>Gerald</v>
      </c>
      <c r="C50" t="str">
        <f>"Cambrault"</f>
        <v>Cambrault</v>
      </c>
      <c r="D50" t="str">
        <f>"GCAMBRAU"</f>
        <v>GCAMBRAU</v>
      </c>
      <c r="E50" t="str">
        <f>"011.44.1344.619268"</f>
        <v>011.44.1344.619268</v>
      </c>
      <c r="F50" t="s">
        <v>48</v>
      </c>
      <c r="G50" t="str">
        <f>"SA_MAN"</f>
        <v>SA_MAN</v>
      </c>
      <c r="H50">
        <v>11000</v>
      </c>
      <c r="I50">
        <v>0.3</v>
      </c>
      <c r="J50">
        <v>100</v>
      </c>
      <c r="K50">
        <v>80</v>
      </c>
    </row>
    <row r="51" spans="1:11" x14ac:dyDescent="0.45">
      <c r="A51">
        <v>149</v>
      </c>
      <c r="B51" t="str">
        <f>"Eleni"</f>
        <v>Eleni</v>
      </c>
      <c r="C51" t="str">
        <f>"Zlotkey"</f>
        <v>Zlotkey</v>
      </c>
      <c r="D51" t="str">
        <f>"EZLOTKEY"</f>
        <v>EZLOTKEY</v>
      </c>
      <c r="E51" t="str">
        <f>"011.44.1344.429018"</f>
        <v>011.44.1344.429018</v>
      </c>
      <c r="F51" t="s">
        <v>49</v>
      </c>
      <c r="G51" t="str">
        <f>"SA_MAN"</f>
        <v>SA_MAN</v>
      </c>
      <c r="H51">
        <v>10500</v>
      </c>
      <c r="I51">
        <v>0.2</v>
      </c>
      <c r="J51">
        <v>100</v>
      </c>
      <c r="K51">
        <v>80</v>
      </c>
    </row>
    <row r="52" spans="1:11" x14ac:dyDescent="0.45">
      <c r="A52">
        <v>150</v>
      </c>
      <c r="B52" t="str">
        <f>"Peter"</f>
        <v>Peter</v>
      </c>
      <c r="C52" t="str">
        <f>"Tucker"</f>
        <v>Tucker</v>
      </c>
      <c r="D52" t="str">
        <f>"PTUCKER"</f>
        <v>PTUCKER</v>
      </c>
      <c r="E52" t="str">
        <f>"011.44.1344.129268"</f>
        <v>011.44.1344.129268</v>
      </c>
      <c r="F52" t="s">
        <v>50</v>
      </c>
      <c r="G52" t="str">
        <f t="shared" ref="G52:G81" si="1">"SA_REP"</f>
        <v>SA_REP</v>
      </c>
      <c r="H52">
        <v>10000</v>
      </c>
      <c r="I52">
        <v>0.3</v>
      </c>
      <c r="J52">
        <v>145</v>
      </c>
      <c r="K52">
        <v>80</v>
      </c>
    </row>
    <row r="53" spans="1:11" x14ac:dyDescent="0.45">
      <c r="A53">
        <v>151</v>
      </c>
      <c r="B53" t="str">
        <f>"David"</f>
        <v>David</v>
      </c>
      <c r="C53" t="str">
        <f>"Bernstein"</f>
        <v>Bernstein</v>
      </c>
      <c r="D53" t="str">
        <f>"DBERNSTE"</f>
        <v>DBERNSTE</v>
      </c>
      <c r="E53" t="str">
        <f>"011.44.1344.345268"</f>
        <v>011.44.1344.345268</v>
      </c>
      <c r="F53" t="s">
        <v>51</v>
      </c>
      <c r="G53" t="str">
        <f t="shared" si="1"/>
        <v>SA_REP</v>
      </c>
      <c r="H53">
        <v>9500</v>
      </c>
      <c r="I53">
        <v>0.25</v>
      </c>
      <c r="J53">
        <v>145</v>
      </c>
      <c r="K53">
        <v>80</v>
      </c>
    </row>
    <row r="54" spans="1:11" x14ac:dyDescent="0.45">
      <c r="A54">
        <v>152</v>
      </c>
      <c r="B54" t="str">
        <f>"Peter"</f>
        <v>Peter</v>
      </c>
      <c r="C54" t="str">
        <f>"Hall"</f>
        <v>Hall</v>
      </c>
      <c r="D54" t="str">
        <f>"PHALL"</f>
        <v>PHALL</v>
      </c>
      <c r="E54" t="str">
        <f>"011.44.1344.478968"</f>
        <v>011.44.1344.478968</v>
      </c>
      <c r="F54" t="s">
        <v>29</v>
      </c>
      <c r="G54" t="str">
        <f t="shared" si="1"/>
        <v>SA_REP</v>
      </c>
      <c r="H54">
        <v>9000</v>
      </c>
      <c r="I54">
        <v>0.25</v>
      </c>
      <c r="J54">
        <v>145</v>
      </c>
      <c r="K54">
        <v>80</v>
      </c>
    </row>
    <row r="55" spans="1:11" x14ac:dyDescent="0.45">
      <c r="A55">
        <v>153</v>
      </c>
      <c r="B55" t="str">
        <f>"Christopher"</f>
        <v>Christopher</v>
      </c>
      <c r="C55" t="str">
        <f>"Olsen"</f>
        <v>Olsen</v>
      </c>
      <c r="D55" t="str">
        <f>"COLSEN"</f>
        <v>COLSEN</v>
      </c>
      <c r="E55" t="str">
        <f>"011.44.1344.498718"</f>
        <v>011.44.1344.498718</v>
      </c>
      <c r="F55" t="s">
        <v>52</v>
      </c>
      <c r="G55" t="str">
        <f t="shared" si="1"/>
        <v>SA_REP</v>
      </c>
      <c r="H55">
        <v>8000</v>
      </c>
      <c r="I55">
        <v>0.2</v>
      </c>
      <c r="J55">
        <v>145</v>
      </c>
      <c r="K55">
        <v>80</v>
      </c>
    </row>
    <row r="56" spans="1:11" x14ac:dyDescent="0.45">
      <c r="A56">
        <v>154</v>
      </c>
      <c r="B56" t="str">
        <f>"Nanette"</f>
        <v>Nanette</v>
      </c>
      <c r="C56" t="str">
        <f>"Cambrault"</f>
        <v>Cambrault</v>
      </c>
      <c r="D56" t="str">
        <f>"NCAMBRAU"</f>
        <v>NCAMBRAU</v>
      </c>
      <c r="E56" t="str">
        <f>"011.44.1344.987668"</f>
        <v>011.44.1344.987668</v>
      </c>
      <c r="F56" t="s">
        <v>53</v>
      </c>
      <c r="G56" t="str">
        <f t="shared" si="1"/>
        <v>SA_REP</v>
      </c>
      <c r="H56">
        <v>7500</v>
      </c>
      <c r="I56">
        <v>0.2</v>
      </c>
      <c r="J56">
        <v>145</v>
      </c>
      <c r="K56">
        <v>80</v>
      </c>
    </row>
    <row r="57" spans="1:11" x14ac:dyDescent="0.45">
      <c r="A57">
        <v>155</v>
      </c>
      <c r="B57" t="str">
        <f>"Oliver"</f>
        <v>Oliver</v>
      </c>
      <c r="C57" t="str">
        <f>"Tuvault"</f>
        <v>Tuvault</v>
      </c>
      <c r="D57" t="str">
        <f>"OTUVAULT"</f>
        <v>OTUVAULT</v>
      </c>
      <c r="E57" t="str">
        <f>"011.44.1344.486508"</f>
        <v>011.44.1344.486508</v>
      </c>
      <c r="F57" t="s">
        <v>54</v>
      </c>
      <c r="G57" t="str">
        <f t="shared" si="1"/>
        <v>SA_REP</v>
      </c>
      <c r="H57">
        <v>7000</v>
      </c>
      <c r="I57">
        <v>0.15</v>
      </c>
      <c r="J57">
        <v>145</v>
      </c>
      <c r="K57">
        <v>80</v>
      </c>
    </row>
    <row r="58" spans="1:11" x14ac:dyDescent="0.45">
      <c r="A58">
        <v>156</v>
      </c>
      <c r="B58" t="str">
        <f>"Janette"</f>
        <v>Janette</v>
      </c>
      <c r="C58" t="str">
        <f>"King"</f>
        <v>King</v>
      </c>
      <c r="D58" t="str">
        <f>"JKING"</f>
        <v>JKING</v>
      </c>
      <c r="E58" t="str">
        <f>"011.44.1345.429268"</f>
        <v>011.44.1345.429268</v>
      </c>
      <c r="F58" t="s">
        <v>55</v>
      </c>
      <c r="G58" t="str">
        <f t="shared" si="1"/>
        <v>SA_REP</v>
      </c>
      <c r="H58">
        <v>10000</v>
      </c>
      <c r="I58">
        <v>0.35</v>
      </c>
      <c r="J58">
        <v>146</v>
      </c>
      <c r="K58">
        <v>80</v>
      </c>
    </row>
    <row r="59" spans="1:11" x14ac:dyDescent="0.45">
      <c r="A59">
        <v>157</v>
      </c>
      <c r="B59" t="str">
        <f>"Patrick"</f>
        <v>Patrick</v>
      </c>
      <c r="C59" t="str">
        <f>"Sully"</f>
        <v>Sully</v>
      </c>
      <c r="D59" t="str">
        <f>"PSULLY"</f>
        <v>PSULLY</v>
      </c>
      <c r="E59" t="str">
        <f>"011.44.1345.929268"</f>
        <v>011.44.1345.929268</v>
      </c>
      <c r="F59" t="s">
        <v>56</v>
      </c>
      <c r="G59" t="str">
        <f t="shared" si="1"/>
        <v>SA_REP</v>
      </c>
      <c r="H59">
        <v>9500</v>
      </c>
      <c r="I59">
        <v>0.35</v>
      </c>
      <c r="J59">
        <v>146</v>
      </c>
      <c r="K59">
        <v>80</v>
      </c>
    </row>
    <row r="60" spans="1:11" x14ac:dyDescent="0.45">
      <c r="A60">
        <v>158</v>
      </c>
      <c r="B60" t="str">
        <f>"Allan"</f>
        <v>Allan</v>
      </c>
      <c r="C60" t="str">
        <f>"McEwen"</f>
        <v>McEwen</v>
      </c>
      <c r="D60" t="str">
        <f>"AMCEWEN"</f>
        <v>AMCEWEN</v>
      </c>
      <c r="E60" t="str">
        <f>"011.44.1345.829268"</f>
        <v>011.44.1345.829268</v>
      </c>
      <c r="F60" t="s">
        <v>57</v>
      </c>
      <c r="G60" t="str">
        <f t="shared" si="1"/>
        <v>SA_REP</v>
      </c>
      <c r="H60">
        <v>9000</v>
      </c>
      <c r="I60">
        <v>0.35</v>
      </c>
      <c r="J60">
        <v>146</v>
      </c>
      <c r="K60">
        <v>80</v>
      </c>
    </row>
    <row r="61" spans="1:11" x14ac:dyDescent="0.45">
      <c r="A61">
        <v>159</v>
      </c>
      <c r="B61" t="str">
        <f>"Lindsey"</f>
        <v>Lindsey</v>
      </c>
      <c r="C61" t="str">
        <f>"Smith"</f>
        <v>Smith</v>
      </c>
      <c r="D61" t="str">
        <f>"LSMITH"</f>
        <v>LSMITH</v>
      </c>
      <c r="E61" t="str">
        <f>"011.44.1345.729268"</f>
        <v>011.44.1345.729268</v>
      </c>
      <c r="F61" t="s">
        <v>47</v>
      </c>
      <c r="G61" t="str">
        <f t="shared" si="1"/>
        <v>SA_REP</v>
      </c>
      <c r="H61">
        <v>8000</v>
      </c>
      <c r="I61">
        <v>0.3</v>
      </c>
      <c r="J61">
        <v>146</v>
      </c>
      <c r="K61">
        <v>80</v>
      </c>
    </row>
    <row r="62" spans="1:11" x14ac:dyDescent="0.45">
      <c r="A62">
        <v>160</v>
      </c>
      <c r="B62" t="str">
        <f>"Louise"</f>
        <v>Louise</v>
      </c>
      <c r="C62" t="str">
        <f>"Doran"</f>
        <v>Doran</v>
      </c>
      <c r="D62" t="str">
        <f>"LDORAN"</f>
        <v>LDORAN</v>
      </c>
      <c r="E62" t="str">
        <f>"011.44.1345.629268"</f>
        <v>011.44.1345.629268</v>
      </c>
      <c r="F62" t="s">
        <v>58</v>
      </c>
      <c r="G62" t="str">
        <f t="shared" si="1"/>
        <v>SA_REP</v>
      </c>
      <c r="H62">
        <v>7500</v>
      </c>
      <c r="I62">
        <v>0.3</v>
      </c>
      <c r="J62">
        <v>146</v>
      </c>
      <c r="K62">
        <v>80</v>
      </c>
    </row>
    <row r="63" spans="1:11" x14ac:dyDescent="0.45">
      <c r="A63">
        <v>161</v>
      </c>
      <c r="B63" t="str">
        <f>"Sarath"</f>
        <v>Sarath</v>
      </c>
      <c r="C63" t="str">
        <f>"Sewall"</f>
        <v>Sewall</v>
      </c>
      <c r="D63" t="str">
        <f>"SSEWALL"</f>
        <v>SSEWALL</v>
      </c>
      <c r="E63" t="str">
        <f>"011.44.1345.529268"</f>
        <v>011.44.1345.529268</v>
      </c>
      <c r="F63" t="s">
        <v>59</v>
      </c>
      <c r="G63" t="str">
        <f t="shared" si="1"/>
        <v>SA_REP</v>
      </c>
      <c r="H63">
        <v>7000</v>
      </c>
      <c r="I63">
        <v>0.25</v>
      </c>
      <c r="J63">
        <v>146</v>
      </c>
      <c r="K63">
        <v>80</v>
      </c>
    </row>
    <row r="64" spans="1:11" x14ac:dyDescent="0.45">
      <c r="A64">
        <v>162</v>
      </c>
      <c r="B64" t="str">
        <f>"Clara"</f>
        <v>Clara</v>
      </c>
      <c r="C64" t="str">
        <f>"Vishney"</f>
        <v>Vishney</v>
      </c>
      <c r="D64" t="str">
        <f>"CVISHNEY"</f>
        <v>CVISHNEY</v>
      </c>
      <c r="E64" t="str">
        <f>"011.44.1346.129268"</f>
        <v>011.44.1346.129268</v>
      </c>
      <c r="F64" t="s">
        <v>60</v>
      </c>
      <c r="G64" t="str">
        <f t="shared" si="1"/>
        <v>SA_REP</v>
      </c>
      <c r="H64">
        <v>10500</v>
      </c>
      <c r="I64">
        <v>0.25</v>
      </c>
      <c r="J64">
        <v>147</v>
      </c>
      <c r="K64">
        <v>80</v>
      </c>
    </row>
    <row r="65" spans="1:11" x14ac:dyDescent="0.45">
      <c r="A65">
        <v>163</v>
      </c>
      <c r="B65" t="str">
        <f>"Danielle"</f>
        <v>Danielle</v>
      </c>
      <c r="C65" t="str">
        <f>"Greene"</f>
        <v>Greene</v>
      </c>
      <c r="D65" t="str">
        <f>"DGREENE"</f>
        <v>DGREENE</v>
      </c>
      <c r="E65" t="str">
        <f>"011.44.1346.229268"</f>
        <v>011.44.1346.229268</v>
      </c>
      <c r="F65" t="s">
        <v>61</v>
      </c>
      <c r="G65" t="str">
        <f t="shared" si="1"/>
        <v>SA_REP</v>
      </c>
      <c r="H65">
        <v>9500</v>
      </c>
      <c r="I65">
        <v>0.15</v>
      </c>
      <c r="J65">
        <v>147</v>
      </c>
      <c r="K65">
        <v>80</v>
      </c>
    </row>
    <row r="66" spans="1:11" x14ac:dyDescent="0.45">
      <c r="A66">
        <v>164</v>
      </c>
      <c r="B66" t="str">
        <f>"Mattea"</f>
        <v>Mattea</v>
      </c>
      <c r="C66" t="str">
        <f>"Marvins"</f>
        <v>Marvins</v>
      </c>
      <c r="D66" t="str">
        <f>"MMARVINS"</f>
        <v>MMARVINS</v>
      </c>
      <c r="E66" t="str">
        <f>"011.44.1346.329268"</f>
        <v>011.44.1346.329268</v>
      </c>
      <c r="F66" t="s">
        <v>62</v>
      </c>
      <c r="G66" t="str">
        <f t="shared" si="1"/>
        <v>SA_REP</v>
      </c>
      <c r="H66">
        <v>7200</v>
      </c>
      <c r="I66">
        <v>0.1</v>
      </c>
      <c r="J66">
        <v>147</v>
      </c>
      <c r="K66">
        <v>80</v>
      </c>
    </row>
    <row r="67" spans="1:11" x14ac:dyDescent="0.45">
      <c r="A67">
        <v>165</v>
      </c>
      <c r="B67" t="str">
        <f>"David"</f>
        <v>David</v>
      </c>
      <c r="C67" t="str">
        <f>"Lee"</f>
        <v>Lee</v>
      </c>
      <c r="D67" t="str">
        <f>"DLEE"</f>
        <v>DLEE</v>
      </c>
      <c r="E67" t="str">
        <f>"011.44.1346.529268"</f>
        <v>011.44.1346.529268</v>
      </c>
      <c r="F67" t="s">
        <v>63</v>
      </c>
      <c r="G67" t="str">
        <f t="shared" si="1"/>
        <v>SA_REP</v>
      </c>
      <c r="H67">
        <v>6800</v>
      </c>
      <c r="I67">
        <v>0.1</v>
      </c>
      <c r="J67">
        <v>147</v>
      </c>
      <c r="K67">
        <v>80</v>
      </c>
    </row>
    <row r="68" spans="1:11" x14ac:dyDescent="0.45">
      <c r="A68">
        <v>166</v>
      </c>
      <c r="B68" t="str">
        <f>"Sundar"</f>
        <v>Sundar</v>
      </c>
      <c r="C68" t="str">
        <f>"Ande"</f>
        <v>Ande</v>
      </c>
      <c r="D68" t="str">
        <f>"SANDE"</f>
        <v>SANDE</v>
      </c>
      <c r="E68" t="str">
        <f>"011.44.1346.629268"</f>
        <v>011.44.1346.629268</v>
      </c>
      <c r="F68" t="s">
        <v>64</v>
      </c>
      <c r="G68" t="str">
        <f t="shared" si="1"/>
        <v>SA_REP</v>
      </c>
      <c r="H68">
        <v>6400</v>
      </c>
      <c r="I68">
        <v>0.1</v>
      </c>
      <c r="J68">
        <v>147</v>
      </c>
      <c r="K68">
        <v>80</v>
      </c>
    </row>
    <row r="69" spans="1:11" x14ac:dyDescent="0.45">
      <c r="A69">
        <v>167</v>
      </c>
      <c r="B69" t="str">
        <f>"Amit"</f>
        <v>Amit</v>
      </c>
      <c r="C69" t="str">
        <f>"Banda"</f>
        <v>Banda</v>
      </c>
      <c r="D69" t="str">
        <f>"ABANDA"</f>
        <v>ABANDA</v>
      </c>
      <c r="E69" t="str">
        <f>"011.44.1346.729268"</f>
        <v>011.44.1346.729268</v>
      </c>
      <c r="F69" t="s">
        <v>65</v>
      </c>
      <c r="G69" t="str">
        <f t="shared" si="1"/>
        <v>SA_REP</v>
      </c>
      <c r="H69">
        <v>6200</v>
      </c>
      <c r="I69">
        <v>0.1</v>
      </c>
      <c r="J69">
        <v>147</v>
      </c>
      <c r="K69">
        <v>80</v>
      </c>
    </row>
    <row r="70" spans="1:11" x14ac:dyDescent="0.45">
      <c r="A70">
        <v>168</v>
      </c>
      <c r="B70" t="str">
        <f>"Lisa"</f>
        <v>Lisa</v>
      </c>
      <c r="C70" t="str">
        <f>"Ozer"</f>
        <v>Ozer</v>
      </c>
      <c r="D70" t="str">
        <f>"LOZER"</f>
        <v>LOZER</v>
      </c>
      <c r="E70" t="str">
        <f>"011.44.1343.929268"</f>
        <v>011.44.1343.929268</v>
      </c>
      <c r="F70" t="s">
        <v>66</v>
      </c>
      <c r="G70" t="str">
        <f t="shared" si="1"/>
        <v>SA_REP</v>
      </c>
      <c r="H70">
        <v>11500</v>
      </c>
      <c r="I70">
        <v>0.25</v>
      </c>
      <c r="J70">
        <v>148</v>
      </c>
      <c r="K70">
        <v>80</v>
      </c>
    </row>
    <row r="71" spans="1:11" x14ac:dyDescent="0.45">
      <c r="A71">
        <v>169</v>
      </c>
      <c r="B71" t="str">
        <f>"Harrison"</f>
        <v>Harrison</v>
      </c>
      <c r="C71" t="str">
        <f>"Bloom"</f>
        <v>Bloom</v>
      </c>
      <c r="D71" t="str">
        <f>"HBLOOM"</f>
        <v>HBLOOM</v>
      </c>
      <c r="E71" t="str">
        <f>"011.44.1343.829268"</f>
        <v>011.44.1343.829268</v>
      </c>
      <c r="F71" t="s">
        <v>67</v>
      </c>
      <c r="G71" t="str">
        <f t="shared" si="1"/>
        <v>SA_REP</v>
      </c>
      <c r="H71">
        <v>10000</v>
      </c>
      <c r="I71">
        <v>0.2</v>
      </c>
      <c r="J71">
        <v>148</v>
      </c>
      <c r="K71">
        <v>80</v>
      </c>
    </row>
    <row r="72" spans="1:11" x14ac:dyDescent="0.45">
      <c r="A72">
        <v>170</v>
      </c>
      <c r="B72" t="str">
        <f>"Tayler"</f>
        <v>Tayler</v>
      </c>
      <c r="C72" t="str">
        <f>"Fox"</f>
        <v>Fox</v>
      </c>
      <c r="D72" t="str">
        <f>"TFOX"</f>
        <v>TFOX</v>
      </c>
      <c r="E72" t="str">
        <f>"011.44.1343.729268"</f>
        <v>011.44.1343.729268</v>
      </c>
      <c r="F72" t="s">
        <v>68</v>
      </c>
      <c r="G72" t="str">
        <f t="shared" si="1"/>
        <v>SA_REP</v>
      </c>
      <c r="H72">
        <v>9600</v>
      </c>
      <c r="I72">
        <v>0.2</v>
      </c>
      <c r="J72">
        <v>148</v>
      </c>
      <c r="K72">
        <v>80</v>
      </c>
    </row>
    <row r="73" spans="1:11" x14ac:dyDescent="0.45">
      <c r="A73">
        <v>171</v>
      </c>
      <c r="B73" t="str">
        <f>"William"</f>
        <v>William</v>
      </c>
      <c r="C73" t="str">
        <f>"Smith"</f>
        <v>Smith</v>
      </c>
      <c r="D73" t="str">
        <f>"WSMITH"</f>
        <v>WSMITH</v>
      </c>
      <c r="E73" t="str">
        <f>"011.44.1343.629268"</f>
        <v>011.44.1343.629268</v>
      </c>
      <c r="F73" t="s">
        <v>69</v>
      </c>
      <c r="G73" t="str">
        <f t="shared" si="1"/>
        <v>SA_REP</v>
      </c>
      <c r="H73">
        <v>7400</v>
      </c>
      <c r="I73">
        <v>0.15</v>
      </c>
      <c r="J73">
        <v>148</v>
      </c>
      <c r="K73">
        <v>80</v>
      </c>
    </row>
    <row r="74" spans="1:11" x14ac:dyDescent="0.45">
      <c r="A74">
        <v>172</v>
      </c>
      <c r="B74" t="str">
        <f>"Elizabeth"</f>
        <v>Elizabeth</v>
      </c>
      <c r="C74" t="str">
        <f>"Bates"</f>
        <v>Bates</v>
      </c>
      <c r="D74" t="str">
        <f>"EBATES"</f>
        <v>EBATES</v>
      </c>
      <c r="E74" t="str">
        <f>"011.44.1343.529268"</f>
        <v>011.44.1343.529268</v>
      </c>
      <c r="F74" t="s">
        <v>70</v>
      </c>
      <c r="G74" t="str">
        <f t="shared" si="1"/>
        <v>SA_REP</v>
      </c>
      <c r="H74">
        <v>7300</v>
      </c>
      <c r="I74">
        <v>0.15</v>
      </c>
      <c r="J74">
        <v>148</v>
      </c>
      <c r="K74">
        <v>80</v>
      </c>
    </row>
    <row r="75" spans="1:11" x14ac:dyDescent="0.45">
      <c r="A75">
        <v>173</v>
      </c>
      <c r="B75" t="str">
        <f>"Sundita"</f>
        <v>Sundita</v>
      </c>
      <c r="C75" t="str">
        <f>"Kumar"</f>
        <v>Kumar</v>
      </c>
      <c r="D75" t="str">
        <f>"SKUMAR"</f>
        <v>SKUMAR</v>
      </c>
      <c r="E75" t="str">
        <f>"011.44.1343.329268"</f>
        <v>011.44.1343.329268</v>
      </c>
      <c r="F75" t="s">
        <v>65</v>
      </c>
      <c r="G75" t="str">
        <f t="shared" si="1"/>
        <v>SA_REP</v>
      </c>
      <c r="H75">
        <v>6100</v>
      </c>
      <c r="I75">
        <v>0.1</v>
      </c>
      <c r="J75">
        <v>148</v>
      </c>
      <c r="K75">
        <v>80</v>
      </c>
    </row>
    <row r="76" spans="1:11" x14ac:dyDescent="0.45">
      <c r="A76">
        <v>174</v>
      </c>
      <c r="B76" t="str">
        <f>"Ellen"</f>
        <v>Ellen</v>
      </c>
      <c r="C76" t="str">
        <f>"Abel"</f>
        <v>Abel</v>
      </c>
      <c r="D76" t="str">
        <f>"EABEL"</f>
        <v>EABEL</v>
      </c>
      <c r="E76" t="str">
        <f>"011.44.1644.429267"</f>
        <v>011.44.1644.429267</v>
      </c>
      <c r="F76" t="s">
        <v>71</v>
      </c>
      <c r="G76" t="str">
        <f t="shared" si="1"/>
        <v>SA_REP</v>
      </c>
      <c r="H76">
        <v>11000</v>
      </c>
      <c r="I76">
        <v>0.3</v>
      </c>
      <c r="J76">
        <v>149</v>
      </c>
      <c r="K76">
        <v>80</v>
      </c>
    </row>
    <row r="77" spans="1:11" x14ac:dyDescent="0.45">
      <c r="A77">
        <v>175</v>
      </c>
      <c r="B77" t="str">
        <f>"Alyssa"</f>
        <v>Alyssa</v>
      </c>
      <c r="C77" t="str">
        <f>"Hutton"</f>
        <v>Hutton</v>
      </c>
      <c r="D77" t="str">
        <f>"AHUTTON"</f>
        <v>AHUTTON</v>
      </c>
      <c r="E77" t="str">
        <f>"011.44.1644.429266"</f>
        <v>011.44.1644.429266</v>
      </c>
      <c r="F77" t="s">
        <v>72</v>
      </c>
      <c r="G77" t="str">
        <f t="shared" si="1"/>
        <v>SA_REP</v>
      </c>
      <c r="H77">
        <v>8800</v>
      </c>
      <c r="I77">
        <v>0.25</v>
      </c>
      <c r="J77">
        <v>149</v>
      </c>
      <c r="K77">
        <v>80</v>
      </c>
    </row>
    <row r="78" spans="1:11" x14ac:dyDescent="0.45">
      <c r="A78">
        <v>176</v>
      </c>
      <c r="B78" t="str">
        <f>"Jonathon"</f>
        <v>Jonathon</v>
      </c>
      <c r="C78" t="str">
        <f>"Taylor"</f>
        <v>Taylor</v>
      </c>
      <c r="D78" t="str">
        <f>"JTAYLOR"</f>
        <v>JTAYLOR</v>
      </c>
      <c r="E78" t="str">
        <f>"011.44.1644.429265"</f>
        <v>011.44.1644.429265</v>
      </c>
      <c r="F78" t="s">
        <v>73</v>
      </c>
      <c r="G78" t="str">
        <f t="shared" si="1"/>
        <v>SA_REP</v>
      </c>
      <c r="H78">
        <v>8600</v>
      </c>
      <c r="I78">
        <v>0.2</v>
      </c>
      <c r="J78">
        <v>149</v>
      </c>
      <c r="K78">
        <v>80</v>
      </c>
    </row>
    <row r="79" spans="1:11" x14ac:dyDescent="0.45">
      <c r="A79">
        <v>177</v>
      </c>
      <c r="B79" t="str">
        <f>"Jack"</f>
        <v>Jack</v>
      </c>
      <c r="C79" t="str">
        <f>"Livingston"</f>
        <v>Livingston</v>
      </c>
      <c r="D79" t="str">
        <f>"JLIVINGS"</f>
        <v>JLIVINGS</v>
      </c>
      <c r="E79" t="str">
        <f>"011.44.1644.429264"</f>
        <v>011.44.1644.429264</v>
      </c>
      <c r="F79" t="s">
        <v>74</v>
      </c>
      <c r="G79" t="str">
        <f t="shared" si="1"/>
        <v>SA_REP</v>
      </c>
      <c r="H79">
        <v>8400</v>
      </c>
      <c r="I79">
        <v>0.2</v>
      </c>
      <c r="J79">
        <v>149</v>
      </c>
      <c r="K79">
        <v>80</v>
      </c>
    </row>
    <row r="80" spans="1:11" x14ac:dyDescent="0.45">
      <c r="A80">
        <v>178</v>
      </c>
      <c r="B80" t="str">
        <f>"Kimberely"</f>
        <v>Kimberely</v>
      </c>
      <c r="C80" t="str">
        <f>"Grant"</f>
        <v>Grant</v>
      </c>
      <c r="D80" t="str">
        <f>"KGRANT"</f>
        <v>KGRANT</v>
      </c>
      <c r="E80" t="str">
        <f>"011.44.1644.429263"</f>
        <v>011.44.1644.429263</v>
      </c>
      <c r="F80" t="s">
        <v>75</v>
      </c>
      <c r="G80" t="str">
        <f t="shared" si="1"/>
        <v>SA_REP</v>
      </c>
      <c r="H80">
        <v>7000</v>
      </c>
      <c r="I80">
        <v>0.15</v>
      </c>
      <c r="J80">
        <v>149</v>
      </c>
    </row>
    <row r="81" spans="1:11" x14ac:dyDescent="0.45">
      <c r="A81">
        <v>179</v>
      </c>
      <c r="B81" t="str">
        <f>"Charles"</f>
        <v>Charles</v>
      </c>
      <c r="C81" t="str">
        <f>"Johnson"</f>
        <v>Johnson</v>
      </c>
      <c r="D81" t="str">
        <f>"CJOHNSON"</f>
        <v>CJOHNSON</v>
      </c>
      <c r="E81" t="str">
        <f>"011.44.1644.429262"</f>
        <v>011.44.1644.429262</v>
      </c>
      <c r="F81" t="s">
        <v>76</v>
      </c>
      <c r="G81" t="str">
        <f t="shared" si="1"/>
        <v>SA_REP</v>
      </c>
      <c r="H81">
        <v>6200</v>
      </c>
      <c r="I81">
        <v>0.1</v>
      </c>
      <c r="J81">
        <v>149</v>
      </c>
      <c r="K81">
        <v>80</v>
      </c>
    </row>
    <row r="82" spans="1:11" x14ac:dyDescent="0.45">
      <c r="A82">
        <v>180</v>
      </c>
      <c r="B82" t="str">
        <f>"Winston"</f>
        <v>Winston</v>
      </c>
      <c r="C82" t="str">
        <f>"Taylor"</f>
        <v>Taylor</v>
      </c>
      <c r="D82" t="str">
        <f>"WTAYLOR"</f>
        <v>WTAYLOR</v>
      </c>
      <c r="E82" t="str">
        <f>"650.507.9876"</f>
        <v>650.507.9876</v>
      </c>
      <c r="F82" t="s">
        <v>68</v>
      </c>
      <c r="G82" t="str">
        <f t="shared" ref="G82:G101" si="2">"SH_CLERK"</f>
        <v>SH_CLERK</v>
      </c>
      <c r="H82">
        <v>3200</v>
      </c>
      <c r="J82">
        <v>120</v>
      </c>
      <c r="K82">
        <v>50</v>
      </c>
    </row>
    <row r="83" spans="1:11" x14ac:dyDescent="0.45">
      <c r="A83">
        <v>181</v>
      </c>
      <c r="B83" t="str">
        <f>"Jean"</f>
        <v>Jean</v>
      </c>
      <c r="C83" t="str">
        <f>"Fleaur"</f>
        <v>Fleaur</v>
      </c>
      <c r="D83" t="str">
        <f>"JFLEAUR"</f>
        <v>JFLEAUR</v>
      </c>
      <c r="E83" t="str">
        <f>"650.507.9877"</f>
        <v>650.507.9877</v>
      </c>
      <c r="F83" t="s">
        <v>77</v>
      </c>
      <c r="G83" t="str">
        <f t="shared" si="2"/>
        <v>SH_CLERK</v>
      </c>
      <c r="H83">
        <v>3100</v>
      </c>
      <c r="J83">
        <v>120</v>
      </c>
      <c r="K83">
        <v>50</v>
      </c>
    </row>
    <row r="84" spans="1:11" x14ac:dyDescent="0.45">
      <c r="A84">
        <v>182</v>
      </c>
      <c r="B84" t="str">
        <f>"Martha"</f>
        <v>Martha</v>
      </c>
      <c r="C84" t="str">
        <f>"Sullivan"</f>
        <v>Sullivan</v>
      </c>
      <c r="D84" t="str">
        <f>"MSULLIVA"</f>
        <v>MSULLIVA</v>
      </c>
      <c r="E84" t="str">
        <f>"650.507.9878"</f>
        <v>650.507.9878</v>
      </c>
      <c r="F84" t="s">
        <v>78</v>
      </c>
      <c r="G84" t="str">
        <f t="shared" si="2"/>
        <v>SH_CLERK</v>
      </c>
      <c r="H84">
        <v>2500</v>
      </c>
      <c r="J84">
        <v>120</v>
      </c>
      <c r="K84">
        <v>50</v>
      </c>
    </row>
    <row r="85" spans="1:11" x14ac:dyDescent="0.45">
      <c r="A85">
        <v>183</v>
      </c>
      <c r="B85" t="str">
        <f>"Girard"</f>
        <v>Girard</v>
      </c>
      <c r="C85" t="str">
        <f>"Geoni"</f>
        <v>Geoni</v>
      </c>
      <c r="D85" t="str">
        <f>"GGEONI"</f>
        <v>GGEONI</v>
      </c>
      <c r="E85" t="str">
        <f>"650.507.9879"</f>
        <v>650.507.9879</v>
      </c>
      <c r="F85" t="s">
        <v>79</v>
      </c>
      <c r="G85" t="str">
        <f t="shared" si="2"/>
        <v>SH_CLERK</v>
      </c>
      <c r="H85">
        <v>2800</v>
      </c>
      <c r="J85">
        <v>120</v>
      </c>
      <c r="K85">
        <v>50</v>
      </c>
    </row>
    <row r="86" spans="1:11" x14ac:dyDescent="0.45">
      <c r="A86">
        <v>184</v>
      </c>
      <c r="B86" t="str">
        <f>"Nandita"</f>
        <v>Nandita</v>
      </c>
      <c r="C86" t="str">
        <f>"Sarchand"</f>
        <v>Sarchand</v>
      </c>
      <c r="D86" t="str">
        <f>"NSARCHAN"</f>
        <v>NSARCHAN</v>
      </c>
      <c r="E86" t="str">
        <f>"650.509.1876"</f>
        <v>650.509.1876</v>
      </c>
      <c r="F86" t="s">
        <v>80</v>
      </c>
      <c r="G86" t="str">
        <f t="shared" si="2"/>
        <v>SH_CLERK</v>
      </c>
      <c r="H86">
        <v>4200</v>
      </c>
      <c r="J86">
        <v>121</v>
      </c>
      <c r="K86">
        <v>50</v>
      </c>
    </row>
    <row r="87" spans="1:11" x14ac:dyDescent="0.45">
      <c r="A87">
        <v>185</v>
      </c>
      <c r="B87" t="str">
        <f>"Alexis"</f>
        <v>Alexis</v>
      </c>
      <c r="C87" t="str">
        <f>"Bull"</f>
        <v>Bull</v>
      </c>
      <c r="D87" t="str">
        <f>"ABULL"</f>
        <v>ABULL</v>
      </c>
      <c r="E87" t="str">
        <f>"650.509.2876"</f>
        <v>650.509.2876</v>
      </c>
      <c r="F87" t="s">
        <v>81</v>
      </c>
      <c r="G87" t="str">
        <f t="shared" si="2"/>
        <v>SH_CLERK</v>
      </c>
      <c r="H87">
        <v>4100</v>
      </c>
      <c r="J87">
        <v>121</v>
      </c>
      <c r="K87">
        <v>50</v>
      </c>
    </row>
    <row r="88" spans="1:11" x14ac:dyDescent="0.45">
      <c r="A88">
        <v>186</v>
      </c>
      <c r="B88" t="str">
        <f>"Julia"</f>
        <v>Julia</v>
      </c>
      <c r="C88" t="str">
        <f>"Dellinger"</f>
        <v>Dellinger</v>
      </c>
      <c r="D88" t="str">
        <f>"JDELLING"</f>
        <v>JDELLING</v>
      </c>
      <c r="E88" t="str">
        <f>"650.509.3876"</f>
        <v>650.509.3876</v>
      </c>
      <c r="F88" t="s">
        <v>82</v>
      </c>
      <c r="G88" t="str">
        <f t="shared" si="2"/>
        <v>SH_CLERK</v>
      </c>
      <c r="H88">
        <v>3400</v>
      </c>
      <c r="J88">
        <v>121</v>
      </c>
      <c r="K88">
        <v>50</v>
      </c>
    </row>
    <row r="89" spans="1:11" x14ac:dyDescent="0.45">
      <c r="A89">
        <v>187</v>
      </c>
      <c r="B89" t="str">
        <f>"Anthony"</f>
        <v>Anthony</v>
      </c>
      <c r="C89" t="str">
        <f>"Cabrio"</f>
        <v>Cabrio</v>
      </c>
      <c r="D89" t="str">
        <f>"ACABRIO"</f>
        <v>ACABRIO</v>
      </c>
      <c r="E89" t="str">
        <f>"650.509.4876"</f>
        <v>650.509.4876</v>
      </c>
      <c r="F89" t="s">
        <v>7</v>
      </c>
      <c r="G89" t="str">
        <f t="shared" si="2"/>
        <v>SH_CLERK</v>
      </c>
      <c r="H89">
        <v>3000</v>
      </c>
      <c r="J89">
        <v>121</v>
      </c>
      <c r="K89">
        <v>50</v>
      </c>
    </row>
    <row r="90" spans="1:11" x14ac:dyDescent="0.45">
      <c r="A90">
        <v>188</v>
      </c>
      <c r="B90" t="str">
        <f>"Kelly"</f>
        <v>Kelly</v>
      </c>
      <c r="C90" t="str">
        <f>"Chung"</f>
        <v>Chung</v>
      </c>
      <c r="D90" t="str">
        <f>"KCHUNG"</f>
        <v>KCHUNG</v>
      </c>
      <c r="E90" t="str">
        <f>"650.505.1876"</f>
        <v>650.505.1876</v>
      </c>
      <c r="F90" t="s">
        <v>83</v>
      </c>
      <c r="G90" t="str">
        <f t="shared" si="2"/>
        <v>SH_CLERK</v>
      </c>
      <c r="H90">
        <v>3800</v>
      </c>
      <c r="J90">
        <v>122</v>
      </c>
      <c r="K90">
        <v>50</v>
      </c>
    </row>
    <row r="91" spans="1:11" x14ac:dyDescent="0.45">
      <c r="A91">
        <v>189</v>
      </c>
      <c r="B91" t="str">
        <f>"Jennifer"</f>
        <v>Jennifer</v>
      </c>
      <c r="C91" t="str">
        <f>"Dilly"</f>
        <v>Dilly</v>
      </c>
      <c r="D91" t="str">
        <f>"JDILLY"</f>
        <v>JDILLY</v>
      </c>
      <c r="E91" t="str">
        <f>"650.505.2876"</f>
        <v>650.505.2876</v>
      </c>
      <c r="F91" t="s">
        <v>84</v>
      </c>
      <c r="G91" t="str">
        <f t="shared" si="2"/>
        <v>SH_CLERK</v>
      </c>
      <c r="H91">
        <v>3600</v>
      </c>
      <c r="J91">
        <v>122</v>
      </c>
      <c r="K91">
        <v>50</v>
      </c>
    </row>
    <row r="92" spans="1:11" x14ac:dyDescent="0.45">
      <c r="A92">
        <v>190</v>
      </c>
      <c r="B92" t="str">
        <f>"Timothy"</f>
        <v>Timothy</v>
      </c>
      <c r="C92" t="str">
        <f>"Gates"</f>
        <v>Gates</v>
      </c>
      <c r="D92" t="str">
        <f>"TGATES"</f>
        <v>TGATES</v>
      </c>
      <c r="E92" t="str">
        <f>"650.505.3876"</f>
        <v>650.505.3876</v>
      </c>
      <c r="F92" t="s">
        <v>85</v>
      </c>
      <c r="G92" t="str">
        <f t="shared" si="2"/>
        <v>SH_CLERK</v>
      </c>
      <c r="H92">
        <v>2900</v>
      </c>
      <c r="J92">
        <v>122</v>
      </c>
      <c r="K92">
        <v>50</v>
      </c>
    </row>
    <row r="93" spans="1:11" x14ac:dyDescent="0.45">
      <c r="A93">
        <v>191</v>
      </c>
      <c r="B93" t="str">
        <f>"Randall"</f>
        <v>Randall</v>
      </c>
      <c r="C93" t="str">
        <f>"Perkins"</f>
        <v>Perkins</v>
      </c>
      <c r="D93" t="str">
        <f>"RPERKINS"</f>
        <v>RPERKINS</v>
      </c>
      <c r="E93" t="str">
        <f>"650.505.4876"</f>
        <v>650.505.4876</v>
      </c>
      <c r="F93" t="s">
        <v>86</v>
      </c>
      <c r="G93" t="str">
        <f t="shared" si="2"/>
        <v>SH_CLERK</v>
      </c>
      <c r="H93">
        <v>2500</v>
      </c>
      <c r="J93">
        <v>122</v>
      </c>
      <c r="K93">
        <v>50</v>
      </c>
    </row>
    <row r="94" spans="1:11" x14ac:dyDescent="0.45">
      <c r="A94">
        <v>192</v>
      </c>
      <c r="B94" t="str">
        <f>"Sarah"</f>
        <v>Sarah</v>
      </c>
      <c r="C94" t="str">
        <f>"Bell"</f>
        <v>Bell</v>
      </c>
      <c r="D94" t="str">
        <f>"SBELL"</f>
        <v>SBELL</v>
      </c>
      <c r="E94" t="str">
        <f>"650.501.1876"</f>
        <v>650.501.1876</v>
      </c>
      <c r="F94" t="s">
        <v>87</v>
      </c>
      <c r="G94" t="str">
        <f t="shared" si="2"/>
        <v>SH_CLERK</v>
      </c>
      <c r="H94">
        <v>4000</v>
      </c>
      <c r="J94">
        <v>123</v>
      </c>
      <c r="K94">
        <v>50</v>
      </c>
    </row>
    <row r="95" spans="1:11" x14ac:dyDescent="0.45">
      <c r="A95">
        <v>193</v>
      </c>
      <c r="B95" t="str">
        <f>"Britney"</f>
        <v>Britney</v>
      </c>
      <c r="C95" t="str">
        <f>"Everett"</f>
        <v>Everett</v>
      </c>
      <c r="D95" t="str">
        <f>"BEVERETT"</f>
        <v>BEVERETT</v>
      </c>
      <c r="E95" t="str">
        <f>"650.501.2876"</f>
        <v>650.501.2876</v>
      </c>
      <c r="F95" t="s">
        <v>88</v>
      </c>
      <c r="G95" t="str">
        <f t="shared" si="2"/>
        <v>SH_CLERK</v>
      </c>
      <c r="H95">
        <v>3900</v>
      </c>
      <c r="J95">
        <v>123</v>
      </c>
      <c r="K95">
        <v>50</v>
      </c>
    </row>
    <row r="96" spans="1:11" x14ac:dyDescent="0.45">
      <c r="A96">
        <v>194</v>
      </c>
      <c r="B96" t="str">
        <f>"Samuel"</f>
        <v>Samuel</v>
      </c>
      <c r="C96" t="str">
        <f>"McCain"</f>
        <v>McCain</v>
      </c>
      <c r="D96" t="str">
        <f>"SMCCAIN"</f>
        <v>SMCCAIN</v>
      </c>
      <c r="E96" t="str">
        <f>"650.501.3876"</f>
        <v>650.501.3876</v>
      </c>
      <c r="F96" t="s">
        <v>89</v>
      </c>
      <c r="G96" t="str">
        <f t="shared" si="2"/>
        <v>SH_CLERK</v>
      </c>
      <c r="H96">
        <v>3200</v>
      </c>
      <c r="J96">
        <v>123</v>
      </c>
      <c r="K96">
        <v>50</v>
      </c>
    </row>
    <row r="97" spans="1:11" x14ac:dyDescent="0.45">
      <c r="A97">
        <v>195</v>
      </c>
      <c r="B97" t="str">
        <f>"Vance"</f>
        <v>Vance</v>
      </c>
      <c r="C97" t="str">
        <f>"Jones"</f>
        <v>Jones</v>
      </c>
      <c r="D97" t="str">
        <f>"VJONES"</f>
        <v>VJONES</v>
      </c>
      <c r="E97" t="str">
        <f>"650.501.4876"</f>
        <v>650.501.4876</v>
      </c>
      <c r="F97" t="s">
        <v>90</v>
      </c>
      <c r="G97" t="str">
        <f t="shared" si="2"/>
        <v>SH_CLERK</v>
      </c>
      <c r="H97">
        <v>2800</v>
      </c>
      <c r="J97">
        <v>123</v>
      </c>
      <c r="K97">
        <v>50</v>
      </c>
    </row>
    <row r="98" spans="1:11" x14ac:dyDescent="0.45">
      <c r="A98">
        <v>196</v>
      </c>
      <c r="B98" t="str">
        <f>"Alana"</f>
        <v>Alana</v>
      </c>
      <c r="C98" t="str">
        <f>"Walsh"</f>
        <v>Walsh</v>
      </c>
      <c r="D98" t="str">
        <f>"AWALSH"</f>
        <v>AWALSH</v>
      </c>
      <c r="E98" t="str">
        <f>"650.507.9811"</f>
        <v>650.507.9811</v>
      </c>
      <c r="F98" t="s">
        <v>91</v>
      </c>
      <c r="G98" t="str">
        <f t="shared" si="2"/>
        <v>SH_CLERK</v>
      </c>
      <c r="H98">
        <v>3100</v>
      </c>
      <c r="J98">
        <v>124</v>
      </c>
      <c r="K98">
        <v>50</v>
      </c>
    </row>
    <row r="99" spans="1:11" x14ac:dyDescent="0.45">
      <c r="A99">
        <v>197</v>
      </c>
      <c r="B99" t="str">
        <f>"Kevin"</f>
        <v>Kevin</v>
      </c>
      <c r="C99" t="str">
        <f>"Feeney"</f>
        <v>Feeney</v>
      </c>
      <c r="D99" t="str">
        <f>"KFEENEY"</f>
        <v>KFEENEY</v>
      </c>
      <c r="E99" t="str">
        <f>"650.507.9822"</f>
        <v>650.507.9822</v>
      </c>
      <c r="F99" t="s">
        <v>92</v>
      </c>
      <c r="G99" t="str">
        <f t="shared" si="2"/>
        <v>SH_CLERK</v>
      </c>
      <c r="H99">
        <v>3000</v>
      </c>
      <c r="J99">
        <v>124</v>
      </c>
      <c r="K99">
        <v>50</v>
      </c>
    </row>
    <row r="100" spans="1:11" x14ac:dyDescent="0.45">
      <c r="A100">
        <v>198</v>
      </c>
      <c r="B100" t="str">
        <f>"Donald"</f>
        <v>Donald</v>
      </c>
      <c r="C100" t="str">
        <f>"OConnell"</f>
        <v>OConnell</v>
      </c>
      <c r="D100" t="str">
        <f>"DOCONNEL"</f>
        <v>DOCONNEL</v>
      </c>
      <c r="E100" t="str">
        <f>"650.507.9833"</f>
        <v>650.507.9833</v>
      </c>
      <c r="F100" t="s">
        <v>78</v>
      </c>
      <c r="G100" t="str">
        <f t="shared" si="2"/>
        <v>SH_CLERK</v>
      </c>
      <c r="H100">
        <v>2600</v>
      </c>
      <c r="J100">
        <v>124</v>
      </c>
      <c r="K100">
        <v>50</v>
      </c>
    </row>
    <row r="101" spans="1:11" x14ac:dyDescent="0.45">
      <c r="A101">
        <v>199</v>
      </c>
      <c r="B101" t="str">
        <f>"Douglas"</f>
        <v>Douglas</v>
      </c>
      <c r="C101" t="str">
        <f>"Grant"</f>
        <v>Grant</v>
      </c>
      <c r="D101" t="str">
        <f>"DGRANT"</f>
        <v>DGRANT</v>
      </c>
      <c r="E101" t="str">
        <f>"650.507.9844"</f>
        <v>650.507.9844</v>
      </c>
      <c r="F101" t="s">
        <v>93</v>
      </c>
      <c r="G101" t="str">
        <f t="shared" si="2"/>
        <v>SH_CLERK</v>
      </c>
      <c r="H101">
        <v>2600</v>
      </c>
      <c r="J101">
        <v>124</v>
      </c>
      <c r="K101">
        <v>50</v>
      </c>
    </row>
    <row r="102" spans="1:11" x14ac:dyDescent="0.45">
      <c r="A102">
        <v>200</v>
      </c>
      <c r="B102" t="str">
        <f>"Jennifer"</f>
        <v>Jennifer</v>
      </c>
      <c r="C102" t="str">
        <f>"Whalen"</f>
        <v>Whalen</v>
      </c>
      <c r="D102" t="str">
        <f>"JWHALEN"</f>
        <v>JWHALEN</v>
      </c>
      <c r="E102" t="str">
        <f>"515.123.4444"</f>
        <v>515.123.4444</v>
      </c>
      <c r="F102" t="s">
        <v>94</v>
      </c>
      <c r="G102" t="str">
        <f>"AD_ASST"</f>
        <v>AD_ASST</v>
      </c>
      <c r="H102">
        <v>4400</v>
      </c>
      <c r="J102">
        <v>101</v>
      </c>
      <c r="K102">
        <v>10</v>
      </c>
    </row>
    <row r="103" spans="1:11" x14ac:dyDescent="0.45">
      <c r="A103">
        <v>201</v>
      </c>
      <c r="B103" t="str">
        <f>"Michael"</f>
        <v>Michael</v>
      </c>
      <c r="C103" t="str">
        <f>"Hartstein"</f>
        <v>Hartstein</v>
      </c>
      <c r="D103" t="str">
        <f>"MHARTSTE"</f>
        <v>MHARTSTE</v>
      </c>
      <c r="E103" t="str">
        <f>"515.123.5555"</f>
        <v>515.123.5555</v>
      </c>
      <c r="F103" t="s">
        <v>95</v>
      </c>
      <c r="G103" t="str">
        <f>"MK_MAN"</f>
        <v>MK_MAN</v>
      </c>
      <c r="H103">
        <v>13000</v>
      </c>
      <c r="J103">
        <v>100</v>
      </c>
      <c r="K103">
        <v>20</v>
      </c>
    </row>
    <row r="104" spans="1:11" x14ac:dyDescent="0.45">
      <c r="A104">
        <v>202</v>
      </c>
      <c r="B104" t="str">
        <f>"Pat"</f>
        <v>Pat</v>
      </c>
      <c r="C104" t="str">
        <f>"Fay"</f>
        <v>Fay</v>
      </c>
      <c r="D104" t="str">
        <f>"PFAY"</f>
        <v>PFAY</v>
      </c>
      <c r="E104" t="str">
        <f>"603.123.6666"</f>
        <v>603.123.6666</v>
      </c>
      <c r="F104" t="s">
        <v>96</v>
      </c>
      <c r="G104" t="str">
        <f>"MK_REP"</f>
        <v>MK_REP</v>
      </c>
      <c r="H104">
        <v>6000</v>
      </c>
      <c r="J104">
        <v>201</v>
      </c>
      <c r="K104">
        <v>20</v>
      </c>
    </row>
    <row r="105" spans="1:11" x14ac:dyDescent="0.45">
      <c r="A105">
        <v>203</v>
      </c>
      <c r="B105" t="str">
        <f>"Susan"</f>
        <v>Susan</v>
      </c>
      <c r="C105" t="str">
        <f>"Mavris"</f>
        <v>Mavris</v>
      </c>
      <c r="D105" t="str">
        <f>"SMAVRIS"</f>
        <v>SMAVRIS</v>
      </c>
      <c r="E105" t="str">
        <f>"515.123.7777"</f>
        <v>515.123.7777</v>
      </c>
      <c r="F105" t="s">
        <v>97</v>
      </c>
      <c r="G105" t="str">
        <f>"HR_REP"</f>
        <v>HR_REP</v>
      </c>
      <c r="H105">
        <v>6500</v>
      </c>
      <c r="J105">
        <v>101</v>
      </c>
      <c r="K105">
        <v>40</v>
      </c>
    </row>
    <row r="106" spans="1:11" x14ac:dyDescent="0.45">
      <c r="A106">
        <v>204</v>
      </c>
      <c r="B106" t="str">
        <f>"Hermann"</f>
        <v>Hermann</v>
      </c>
      <c r="C106" t="str">
        <f>"Baer"</f>
        <v>Baer</v>
      </c>
      <c r="D106" t="str">
        <f>"HBAER"</f>
        <v>HBAER</v>
      </c>
      <c r="E106" t="str">
        <f>"515.123.8888"</f>
        <v>515.123.8888</v>
      </c>
      <c r="F106" t="s">
        <v>97</v>
      </c>
      <c r="G106" t="str">
        <f>"PR_REP"</f>
        <v>PR_REP</v>
      </c>
      <c r="H106">
        <v>10000</v>
      </c>
      <c r="J106">
        <v>101</v>
      </c>
      <c r="K106">
        <v>70</v>
      </c>
    </row>
    <row r="107" spans="1:11" x14ac:dyDescent="0.45">
      <c r="A107">
        <v>205</v>
      </c>
      <c r="B107" t="str">
        <f>"Shelley"</f>
        <v>Shelley</v>
      </c>
      <c r="C107" t="str">
        <f>"Higgins"</f>
        <v>Higgins</v>
      </c>
      <c r="D107" t="str">
        <f>"SHIGGINS"</f>
        <v>SHIGGINS</v>
      </c>
      <c r="E107" t="str">
        <f>"515.123.8080"</f>
        <v>515.123.8080</v>
      </c>
      <c r="F107" t="s">
        <v>97</v>
      </c>
      <c r="G107" t="str">
        <f>"AC_MGR"</f>
        <v>AC_MGR</v>
      </c>
      <c r="H107">
        <v>12008</v>
      </c>
      <c r="J107">
        <v>101</v>
      </c>
      <c r="K107">
        <v>110</v>
      </c>
    </row>
    <row r="108" spans="1:11" x14ac:dyDescent="0.45">
      <c r="A108">
        <v>206</v>
      </c>
      <c r="B108" t="str">
        <f>"William"</f>
        <v>William</v>
      </c>
      <c r="C108" t="str">
        <f>"Gietz"</f>
        <v>Gietz</v>
      </c>
      <c r="D108" t="str">
        <f>"WGIETZ"</f>
        <v>WGIETZ</v>
      </c>
      <c r="E108" t="str">
        <f>"515.123.8181"</f>
        <v>515.123.8181</v>
      </c>
      <c r="F108" t="s">
        <v>97</v>
      </c>
      <c r="G108" t="str">
        <f>"AC_ACCOUNT"</f>
        <v>AC_ACCOUNT</v>
      </c>
      <c r="H108">
        <v>8300</v>
      </c>
      <c r="J108">
        <v>205</v>
      </c>
      <c r="K108">
        <v>110</v>
      </c>
    </row>
    <row r="109" spans="1:11" x14ac:dyDescent="0.45">
      <c r="A109">
        <v>203</v>
      </c>
      <c r="B109" t="str">
        <f>"Susan"</f>
        <v>Susan</v>
      </c>
      <c r="C109" t="str">
        <f>"Mavris"</f>
        <v>Mavris</v>
      </c>
      <c r="D109" t="str">
        <f>"SMAVRIS"</f>
        <v>SMAVRIS</v>
      </c>
      <c r="E109" t="str">
        <f>"515.123.7777"</f>
        <v>515.123.7777</v>
      </c>
      <c r="F109" t="s">
        <v>97</v>
      </c>
      <c r="G109" t="str">
        <f>"HR_REP"</f>
        <v>HR_REP</v>
      </c>
      <c r="H109">
        <v>6500</v>
      </c>
      <c r="J109">
        <v>101</v>
      </c>
      <c r="K109">
        <v>40</v>
      </c>
    </row>
    <row r="110" spans="1:11" x14ac:dyDescent="0.45">
      <c r="A110">
        <v>204</v>
      </c>
      <c r="B110" t="str">
        <f>"Hermann"</f>
        <v>Hermann</v>
      </c>
      <c r="C110" t="str">
        <f>"Baer"</f>
        <v>Baer</v>
      </c>
      <c r="D110" t="str">
        <f>"HBAER"</f>
        <v>HBAER</v>
      </c>
      <c r="E110" t="str">
        <f>"515.123.8888"</f>
        <v>515.123.8888</v>
      </c>
      <c r="F110" t="s">
        <v>97</v>
      </c>
      <c r="G110" t="str">
        <f>"PR_REP"</f>
        <v>PR_REP</v>
      </c>
      <c r="H110">
        <v>10000</v>
      </c>
      <c r="J110">
        <v>101</v>
      </c>
      <c r="K110">
        <v>70</v>
      </c>
    </row>
    <row r="111" spans="1:11" x14ac:dyDescent="0.45">
      <c r="A111">
        <v>205</v>
      </c>
      <c r="B111" t="str">
        <f>"Shelley"</f>
        <v>Shelley</v>
      </c>
      <c r="C111" t="str">
        <f>"Higgins"</f>
        <v>Higgins</v>
      </c>
      <c r="D111" t="str">
        <f>"SHIGGINS"</f>
        <v>SHIGGINS</v>
      </c>
      <c r="E111" t="str">
        <f>"515.123.8080"</f>
        <v>515.123.8080</v>
      </c>
      <c r="F111" t="s">
        <v>97</v>
      </c>
      <c r="G111" t="str">
        <f>"AC_MGR"</f>
        <v>AC_MGR</v>
      </c>
      <c r="H111">
        <v>12008</v>
      </c>
      <c r="J111">
        <v>101</v>
      </c>
      <c r="K111">
        <v>110</v>
      </c>
    </row>
    <row r="112" spans="1:11" x14ac:dyDescent="0.45">
      <c r="A112">
        <v>206</v>
      </c>
      <c r="B112" t="str">
        <f>"William"</f>
        <v>William</v>
      </c>
      <c r="C112" t="str">
        <f>"Gietz"</f>
        <v>Gietz</v>
      </c>
      <c r="D112" t="str">
        <f>"WGIETZ"</f>
        <v>WGIETZ</v>
      </c>
      <c r="E112" t="str">
        <f>"515.123.8181"</f>
        <v>515.123.8181</v>
      </c>
      <c r="F112" t="s">
        <v>97</v>
      </c>
      <c r="G112" t="str">
        <f>"AC_ACCOUNT"</f>
        <v>AC_ACCOUNT</v>
      </c>
      <c r="H112">
        <v>8300</v>
      </c>
      <c r="J112">
        <v>205</v>
      </c>
      <c r="K112">
        <v>110</v>
      </c>
    </row>
    <row r="113" spans="4:4" x14ac:dyDescent="0.45">
      <c r="D113" s="1"/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424520E3-9202-45A7-AEC7-18717D1E47F6}">
  <ds:schemaRefs/>
</ds:datastoreItem>
</file>

<file path=customXml/itemProps2.xml><?xml version="1.0" encoding="utf-8"?>
<ds:datastoreItem xmlns:ds="http://schemas.openxmlformats.org/officeDocument/2006/customXml" ds:itemID="{4CDFBEDE-7E70-4657-BC84-F8EB28920E64}">
  <ds:schemaRefs/>
</ds:datastoreItem>
</file>

<file path=customXml/itemProps3.xml><?xml version="1.0" encoding="utf-8"?>
<ds:datastoreItem xmlns:ds="http://schemas.openxmlformats.org/officeDocument/2006/customXml" ds:itemID="{26229D59-EB5F-4B33-BF11-D12581C7B851}">
  <ds:schemaRefs/>
</ds:datastoreItem>
</file>

<file path=customXml/itemProps4.xml><?xml version="1.0" encoding="utf-8"?>
<ds:datastoreItem xmlns:ds="http://schemas.openxmlformats.org/officeDocument/2006/customXml" ds:itemID="{4E812224-FD08-47C6-BC65-12C78ED4DEF2}">
  <ds:schemaRefs/>
</ds:datastoreItem>
</file>

<file path=customXml/itemProps5.xml><?xml version="1.0" encoding="utf-8"?>
<ds:datastoreItem xmlns:ds="http://schemas.openxmlformats.org/officeDocument/2006/customXml" ds:itemID="{D334658C-86E6-4D64-9FBD-4CF7500B70A3}">
  <ds:schemaRefs/>
</ds:datastoreItem>
</file>

<file path=customXml/itemProps6.xml><?xml version="1.0" encoding="utf-8"?>
<ds:datastoreItem xmlns:ds="http://schemas.openxmlformats.org/officeDocument/2006/customXml" ds:itemID="{94B105B0-C5CA-4B6C-B93C-2804BF70B6D1}">
  <ds:schemaRefs/>
</ds:datastoreItem>
</file>

<file path=customXml/itemProps7.xml><?xml version="1.0" encoding="utf-8"?>
<ds:datastoreItem xmlns:ds="http://schemas.openxmlformats.org/officeDocument/2006/customXml" ds:itemID="{FA818A5E-0C00-41F7-821E-B4EA3B7D5AFA}">
  <ds:schemaRefs/>
</ds:datastoreItem>
</file>

<file path=customXml/itemProps8.xml><?xml version="1.0" encoding="utf-8"?>
<ds:datastoreItem xmlns:ds="http://schemas.openxmlformats.org/officeDocument/2006/customXml" ds:itemID="{3A4C0EB4-EA16-417B-9D80-F79EAA7B62E5}">
  <ds:schemaRefs/>
</ds:datastoreItem>
</file>

<file path=customXml/itemProps9.xml><?xml version="1.0" encoding="utf-8"?>
<ds:datastoreItem xmlns:ds="http://schemas.openxmlformats.org/officeDocument/2006/customXml" ds:itemID="{1761A4DF-FDD6-4FAA-BCF5-396F8C906847}">
  <ds:schemaRefs/>
</ds:datastoreItem>
</file>

<file path=customXml/itemProps10.xml><?xml version="1.0" encoding="utf-8"?>
<ds:datastoreItem xmlns:ds="http://schemas.openxmlformats.org/officeDocument/2006/customXml" ds:itemID="{1CF27A35-2137-42E5-8925-601AE5EF43BC}">
  <ds:schemaRefs/>
</ds:datastoreItem>
</file>

<file path=customXml/itemProps11.xml><?xml version="1.0" encoding="utf-8"?>
<ds:datastoreItem xmlns:ds="http://schemas.openxmlformats.org/officeDocument/2006/customXml" ds:itemID="{3901C9BF-0353-4DA0-89DE-1DD0CF9C6D3B}">
  <ds:schemaRefs/>
</ds:datastoreItem>
</file>

<file path=customXml/itemProps12.xml><?xml version="1.0" encoding="utf-8"?>
<ds:datastoreItem xmlns:ds="http://schemas.openxmlformats.org/officeDocument/2006/customXml" ds:itemID="{4AFFF62A-48F8-4C10-A0CB-5A6D02B507F3}">
  <ds:schemaRefs/>
</ds:datastoreItem>
</file>

<file path=customXml/itemProps13.xml><?xml version="1.0" encoding="utf-8"?>
<ds:datastoreItem xmlns:ds="http://schemas.openxmlformats.org/officeDocument/2006/customXml" ds:itemID="{E6D875B6-FBD1-4582-9B5F-24AD11CD8D53}">
  <ds:schemaRefs/>
</ds:datastoreItem>
</file>

<file path=customXml/itemProps14.xml><?xml version="1.0" encoding="utf-8"?>
<ds:datastoreItem xmlns:ds="http://schemas.openxmlformats.org/officeDocument/2006/customXml" ds:itemID="{03AD9FA8-4C65-4F85-B9A5-0B17DCDBFEDB}">
  <ds:schemaRefs/>
</ds:datastoreItem>
</file>

<file path=customXml/itemProps15.xml><?xml version="1.0" encoding="utf-8"?>
<ds:datastoreItem xmlns:ds="http://schemas.openxmlformats.org/officeDocument/2006/customXml" ds:itemID="{9E3EB6EB-7156-4A5F-942A-24BDCB6F075C}">
  <ds:schemaRefs/>
</ds:datastoreItem>
</file>

<file path=customXml/itemProps16.xml><?xml version="1.0" encoding="utf-8"?>
<ds:datastoreItem xmlns:ds="http://schemas.openxmlformats.org/officeDocument/2006/customXml" ds:itemID="{B8D9EB17-68F7-4A23-89C3-73EA145933AB}">
  <ds:schemaRefs/>
</ds:datastoreItem>
</file>

<file path=customXml/itemProps17.xml><?xml version="1.0" encoding="utf-8"?>
<ds:datastoreItem xmlns:ds="http://schemas.openxmlformats.org/officeDocument/2006/customXml" ds:itemID="{E665BF96-03F3-4AA2-A02A-B757A48DBFBC}">
  <ds:schemaRefs/>
</ds:datastoreItem>
</file>

<file path=customXml/itemProps18.xml><?xml version="1.0" encoding="utf-8"?>
<ds:datastoreItem xmlns:ds="http://schemas.openxmlformats.org/officeDocument/2006/customXml" ds:itemID="{07A6E7E5-FBED-4B21-929C-C20603F4BEC8}">
  <ds:schemaRefs/>
</ds:datastoreItem>
</file>

<file path=customXml/itemProps19.xml><?xml version="1.0" encoding="utf-8"?>
<ds:datastoreItem xmlns:ds="http://schemas.openxmlformats.org/officeDocument/2006/customXml" ds:itemID="{56B4D555-912F-434A-B93F-DEFD0C7B9F5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Dipu Maharjan</dc:creator>
  <cp:lastModifiedBy>Rusan Maharjan</cp:lastModifiedBy>
  <dcterms:created xsi:type="dcterms:W3CDTF">2019-04-08T15:38:58Z</dcterms:created>
  <dcterms:modified xsi:type="dcterms:W3CDTF">2026-02-27T11:27:33Z</dcterms:modified>
</cp:coreProperties>
</file>